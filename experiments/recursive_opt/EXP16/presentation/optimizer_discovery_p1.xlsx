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90f0572c1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ées" sheetId="1" r:id="R22d0368fafe046f2"/>
    <x:sheet xmlns:r="http://schemas.openxmlformats.org/officeDocument/2006/relationships" name="Contrastes" sheetId="2" r:id="Rc3a148f1de154746"/>
    <x:sheet xmlns:r="http://schemas.openxmlformats.org/officeDocument/2006/relationships" name="Recherches" sheetId="3" r:id="Rb4daf53842aa46be"/>
    <x:sheet xmlns:r="http://schemas.openxmlformats.org/officeDocument/2006/relationships" name="Usage" sheetId="4" r:id="R6bf9efae66864667"/>
    <x:sheet xmlns:r="http://schemas.openxmlformats.org/officeDocument/2006/relationships" name="Sources" sheetId="5" r:id="R8c2cf4af7ffe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"/>
    <x:numFmt numFmtId="202" formatCode="0.00%"/>
    <x:numFmt numFmtId="203" formatCode="#,##0"/>
    <x:numFmt numFmtId="204" formatCode="0.000000000"/>
  </x:numFmts>
  <x:fonts count="6">
    <x:font>
      <x:sz val="11"/>
      <x:name val="Carlito"/>
    </x:font>
    <x:font>
      <x:b/>
      <x:sz val="17"/>
      <x:color rgb="FF263D50"/>
      <x:name val="Liberation Sans"/>
    </x:font>
    <x:font>
      <x:i/>
      <x:sz val="10"/>
      <x:color rgb="FF546472"/>
      <x:name val="Liberation Sans"/>
    </x:font>
    <x:font>
      <x:sz val="11"/>
      <x:color rgb="FF182D3D"/>
      <x:name val="Liberation Sans"/>
    </x:font>
    <x:font>
      <x:b/>
      <x:sz val="11"/>
      <x:color rgb="FFFFFFFF"/>
      <x:name val="Liberation Sans"/>
    </x:font>
    <x:font>
      <x:sz val="10"/>
      <x:color rgb="FF546472"/>
      <x:name val="Liberation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314A5E"/>
      </x:patternFill>
    </x:fill>
    <x:fill>
      <x:patternFill patternType="solid">
        <x:fgColor rgb="FFF2F6F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4" fontId="3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3" fillId="3" borderId="0" xfId="0" applyNumberFormat="1" applyFont="1" applyFill="1" applyBorder="1" applyAlignment="1">
      <x:alignment horizontal="center" vertical="center"/>
    </x:xf>
    <x:xf numFmtId="20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FFDEDE8"/>
        </x:patternFill>
      </x:fill>
    </x:dxf>
    <x:dxf>
      <x:fill>
        <x:patternFill patternType="solid">
          <x:bgColor rgb="FFEAF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b0d77a21c441f" /><Relationship Type="http://schemas.openxmlformats.org/officeDocument/2006/relationships/theme" Target="/xl/theme/theme1.xml" Id="Re270fb1006f74547" /><Relationship Type="http://schemas.openxmlformats.org/officeDocument/2006/relationships/sharedStrings" Target="/xl/sharedStrings.xml" Id="R65126b1ffe304091" /><Relationship Type="http://schemas.openxmlformats.org/officeDocument/2006/relationships/worksheet" Target="/xl/worksheets/sheet1.xml" Id="R22d0368fafe046f2" /><Relationship Type="http://schemas.openxmlformats.org/officeDocument/2006/relationships/worksheet" Target="/xl/worksheets/sheet2.xml" Id="Rc3a148f1de154746" /><Relationship Type="http://schemas.openxmlformats.org/officeDocument/2006/relationships/worksheet" Target="/xl/worksheets/sheet3.xml" Id="Rb4daf53842aa46be" /><Relationship Type="http://schemas.openxmlformats.org/officeDocument/2006/relationships/worksheet" Target="/xl/worksheets/sheet4.xml" Id="R6bf9efae66864667" /><Relationship Type="http://schemas.openxmlformats.org/officeDocument/2006/relationships/worksheet" Target="/xl/worksheets/sheet5.xml" Id="R8c2cf4af7ffe46f3" /></Relationships>
</file>

<file path=xl/tables/table1.xml><?xml version="1.0" encoding="utf-8"?>
<x:table xmlns:x="http://schemas.openxmlformats.org/spreadsheetml/2006/main" id="1" name="Donnees5Table" displayName="Donnees5Table" ref="A5:J41" headerRowCount="1" totalsRowCount="0" totalsRowShown="0">
  <x:tableColumns count="10">
    <x:tableColumn id="1" name="Seed externe"/>
    <x:tableColumn id="2" name="Bras"/>
    <x:tableColumn id="3" name="AUC audit"/>
    <x:tableColumn id="4" name="Regret final"/>
    <x:tableColumn id="5" name="Cible atteinte"/>
    <x:tableColumn id="6" name="Temps cible censuré"/>
    <x:tableColumn id="7" name="Traj. candidat invalides"/>
    <x:tableColumn id="8" name="Trajectoires de repli"/>
    <x:tableColumn id="9" name="Index sélectionné"/>
    <x:tableColumn id="10" name="SHA-256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nnees45Table" displayName="Donnees45Table" ref="A45:G51" headerRowCount="1" totalsRowCount="0" totalsRowShown="0">
  <x:tableColumns count="7">
    <x:tableColumn id="1" name="Bras"/>
    <x:tableColumn id="2" name="AUC moyenne"/>
    <x:tableColumn id="3" name="AUC médiane"/>
    <x:tableColumn id="4" name="Regret final moyen"/>
    <x:tableColumn id="5" name="Cible atteinte"/>
    <x:tableColumn id="6" name="Traj. candidat invalides"/>
    <x:tableColumn id="7" name="Trajectoires de repl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stes5Table" displayName="Contrastes5Table" ref="A5:G11" headerRowCount="1" totalsRowCount="0" totalsRowShown="0">
  <x:tableColumns count="7">
    <x:tableColumn id="1" name="Contraste"/>
    <x:tableColumn id="2" name="Portée"/>
    <x:tableColumn id="3" name="Moyenne ΔAUC"/>
    <x:tableColumn id="4" name="Médiane ΔAUC"/>
    <x:tableColumn id="5" name="IC 95 % bas"/>
    <x:tableColumn id="6" name="IC 95 % haut"/>
    <x:tableColumn id="7" name="Lecture enregistré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astes15Table" displayName="Contrastes15Table" ref="A15:G21" headerRowCount="1" totalsRowCount="0" totalsRowShown="0">
  <x:tableColumns count="7">
    <x:tableColumn id="1" name="Seed externe"/>
    <x:tableColumn id="2" name="R-I"/>
    <x:tableColumn id="3" name="R-C"/>
    <x:tableColumn id="4" name="W-R"/>
    <x:tableColumn id="5" name="R-A0"/>
    <x:tableColumn id="6" name="B2-A0"/>
    <x:tableColumn id="7" name="R-B2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herches5Table" displayName="Recherches5Table" ref="A5:I29" headerRowCount="1" totalsRowCount="0" totalsRowShown="0">
  <x:tableColumns count="9">
    <x:tableColumn id="1" name="Seed externe"/>
    <x:tableColumn id="2" name="Bras"/>
    <x:tableColumn id="3" name="Réponses allouées"/>
    <x:tableColumn id="4" name="Générés éligibles"/>
    <x:tableColumn id="5" name="Générés non éligibles"/>
    <x:tableColumn id="6" name="Fraction éligible"/>
    <x:tableColumn id="7" name="Seed sélectionné 0/1"/>
    <x:tableColumn id="8" name="Traj. train allouées"/>
    <x:tableColumn id="9" name="Traj. validation alloué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herches33Table" displayName="Recherches33Table" ref="A33:G37" headerRowCount="1" totalsRowCount="0" totalsRowShown="0">
  <x:tableColumns count="7">
    <x:tableColumn id="1" name="Bras"/>
    <x:tableColumn id="2" name="Réponses allouées"/>
    <x:tableColumn id="3" name="Générés éligibles"/>
    <x:tableColumn id="4" name="Générés non éligibles"/>
    <x:tableColumn id="5" name="Seed sélectionné"/>
    <x:tableColumn id="6" name="Traj. train allouées"/>
    <x:tableColumn id="7" name="Traj. validation alloué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sage5Table" displayName="Usage5Table" ref="A5:G9" headerRowCount="1" totalsRowCount="0" totalsRowShown="0">
  <x:tableColumns count="7">
    <x:tableColumn id="1" name="Bras"/>
    <x:tableColumn id="2" name="Réponses"/>
    <x:tableColumn id="3" name="Tokens prompt"/>
    <x:tableColumn id="4" name="Tokens complétion"/>
    <x:tableColumn id="5" name="Tokens raisonnement"/>
    <x:tableColumn id="6" name="Tokens totaux"/>
    <x:tableColumn id="7" name="Coût rapporté US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sage13Table" displayName="Usage13Table" ref="A13:G14" headerRowCount="1" totalsRowCount="0" totalsRowShown="0">
  <x:tableColumns count="7">
    <x:tableColumn id="1" name="Total"/>
    <x:tableColumn id="2" name="Réponses"/>
    <x:tableColumn id="3" name="Tokens prompt"/>
    <x:tableColumn id="4" name="Tokens complétion"/>
    <x:tableColumn id="5" name="Tokens raisonnement"/>
    <x:tableColumn id="6" name="Tokens totaux"/>
    <x:tableColumn id="7" name="Coût rapporté US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5Table" displayName="Sources5Table" ref="A5:E14" headerRowCount="1" totalsRowCount="0" totalsRowShown="0">
  <x:tableColumns count="5">
    <x:tableColumn id="1" name="ID"/>
    <x:tableColumn id="2" name="Fichier"/>
    <x:tableColumn id="3" name="Section"/>
    <x:tableColumn id="4" name="SHA-256 des octets"/>
    <x:tableColumn id="5" name="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18Table" displayName="Sources18Table" ref="A18:B30" headerRowCount="1" totalsRowCount="0" totalsRowShown="0">
  <x:tableColumns count="2">
    <x:tableColumn id="1" name="Repère"/>
    <x:tableColumn id="2" name="Dé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b253ebab9243a9" /><Relationship Type="http://schemas.openxmlformats.org/officeDocument/2006/relationships/table" Target="/xl/tables/table2.xml" Id="R8d93ea4afcfd48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441d1978dea4782" /><Relationship Type="http://schemas.openxmlformats.org/officeDocument/2006/relationships/table" Target="/xl/tables/table4.xml" Id="R4ecbe66c7003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5192ce4d5d7b40b7" /><Relationship Type="http://schemas.openxmlformats.org/officeDocument/2006/relationships/table" Target="/xl/tables/table6.xml" Id="Rb55836a86f68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a08a5b4ba2a64e59" /><Relationship Type="http://schemas.openxmlformats.org/officeDocument/2006/relationships/table" Target="/xl/tables/table8.xml" Id="R08e10deb66a94d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d3cb8f31c4934c47" /><Relationship Type="http://schemas.openxmlformats.org/officeDocument/2006/relationships/table" Target="/xl/tables/table10.xml" Id="Red07c87dc30e4f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7" hidden="0" customWidth="1"/>
    <x:col min="5" max="5" width="21" hidden="0" customWidth="1"/>
    <x:col min="6" max="6" width="28" hidden="0" customWidth="1"/>
    <x:col min="7" max="7" width="28" hidden="0" customWidth="1"/>
    <x:col min="8" max="8" width="26" hidden="0" customWidth="1"/>
    <x:col min="9" max="9" width="23" hidden="0" customWidth="1"/>
    <x:col min="10" max="10" width="75" hidden="0" customWidth="1"/>
  </x:cols>
  <x:sheetData>
    <x:row r="1" ht="30" customHeight="1">
      <x:c r="A1" s="1" t="str">
        <x:v>P1 et contrôle B2 : résultats par seed</x:v>
      </x:c>
    </x:row>
    <x:row r="2" ht="21" customHeight="1">
      <x:c r="A2" s="2" t="str">
        <x:v>Six seeds externes. A0/I/C/R/W : P1 exploratoire ; B2 : référence fixe supplémentaire.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AUC et regret : plus bas = mieux. Toutes les seeds, pertes et invalidités sont conservées.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8" customHeight="1">
      <x:c r="A5" s="8" t="str">
        <x:v>Seed externe</x:v>
      </x:c>
      <x:c r="B5" s="8" t="str">
        <x:v>Bras</x:v>
      </x:c>
      <x:c r="C5" s="8" t="str">
        <x:v>AUC audit</x:v>
      </x:c>
      <x:c r="D5" s="8" t="str">
        <x:v>Regret final</x:v>
      </x:c>
      <x:c r="E5" s="8" t="str">
        <x:v>Cible atteinte</x:v>
      </x:c>
      <x:c r="F5" s="8" t="str">
        <x:v>Temps cible censuré</x:v>
      </x:c>
      <x:c r="G5" s="8" t="str">
        <x:v>Traj. candidat invalides</x:v>
      </x:c>
      <x:c r="H5" s="8" t="str">
        <x:v>Trajectoires de repli</x:v>
      </x:c>
      <x:c r="I5" s="8" t="str">
        <x:v>Index sélectionné</x:v>
      </x:c>
      <x:c r="J5" s="8" t="str">
        <x:v>SHA-256 source</x:v>
      </x:c>
    </x:row>
    <x:row r="6" ht="24" customHeight="1">
      <x:c r="A6" s="21" t="n">
        <x:v>16411</x:v>
      </x:c>
      <x:c r="B6" s="22" t="str">
        <x:v>A0</x:v>
      </x:c>
      <x:c r="C6" s="5" t="n">
        <x:v>0.14706553587888063</x:v>
      </x:c>
      <x:c r="D6" s="5" t="n">
        <x:v>0.0269903938933352</x:v>
      </x:c>
      <x:c r="E6" s="12" t="n">
        <x:v>0.5</x:v>
      </x:c>
      <x:c r="F6" s="5" t="n">
        <x:v>22.958333333333332</x:v>
      </x:c>
      <x:c r="G6" s="10" t="n">
        <x:v>0</x:v>
      </x:c>
      <x:c r="H6" s="10" t="n">
        <x:v>0</x:v>
      </x:c>
      <x:c r="I6" s="10" t="n">
        <x:v>-1</x:v>
      </x:c>
      <x:c r="J6" s="5" t="str">
        <x:v>5b74e5a3fe2fc90fcb42a603b058fa7befbf65f38775caa77acd30cdf619b640</x:v>
      </x:c>
    </x:row>
    <x:row r="7" ht="24" customHeight="1">
      <x:c r="A7" s="23" t="n">
        <x:v>16411</x:v>
      </x:c>
      <x:c r="B7" s="24" t="str">
        <x:v>I</x:v>
      </x:c>
      <x:c r="C7" s="9" t="n">
        <x:v>0.0885151244119526</x:v>
      </x:c>
      <x:c r="D7" s="9" t="n">
        <x:v>0.014975366858174266</x:v>
      </x:c>
      <x:c r="E7" s="13" t="n">
        <x:v>0.5416666666666666</x:v>
      </x:c>
      <x:c r="F7" s="9" t="n">
        <x:v>22.958333333333332</x:v>
      </x:c>
      <x:c r="G7" s="11" t="n">
        <x:v>0</x:v>
      </x:c>
      <x:c r="H7" s="11" t="n">
        <x:v>0</x:v>
      </x:c>
      <x:c r="I7" s="11" t="n">
        <x:v>7</x:v>
      </x:c>
      <x:c r="J7" s="9" t="str">
        <x:v>89a70026927ede2318b807217bdf6fdaf4de587500e95952fbab67a290ad8b0f</x:v>
      </x:c>
    </x:row>
    <x:row r="8" ht="24" customHeight="1">
      <x:c r="A8" s="21" t="n">
        <x:v>16411</x:v>
      </x:c>
      <x:c r="B8" s="22" t="str">
        <x:v>C</x:v>
      </x:c>
      <x:c r="C8" s="5" t="n">
        <x:v>0.048730603315638936</x:v>
      </x:c>
      <x:c r="D8" s="5" t="n">
        <x:v>0.00019750374991104832</x:v>
      </x:c>
      <x:c r="E8" s="12" t="n">
        <x:v>1</x:v>
      </x:c>
      <x:c r="F8" s="5" t="n">
        <x:v>11.166666666666666</x:v>
      </x:c>
      <x:c r="G8" s="10" t="n">
        <x:v>0</x:v>
      </x:c>
      <x:c r="H8" s="10" t="n">
        <x:v>0</x:v>
      </x:c>
      <x:c r="I8" s="10" t="n">
        <x:v>6</x:v>
      </x:c>
      <x:c r="J8" s="5" t="str">
        <x:v>03fb76c2983bc7d7f856e2b54661ed3b7dc5a019fb6efc33879c8002656f76a4</x:v>
      </x:c>
    </x:row>
    <x:row r="9" ht="24" customHeight="1">
      <x:c r="A9" s="23" t="n">
        <x:v>16411</x:v>
      </x:c>
      <x:c r="B9" s="24" t="str">
        <x:v>R</x:v>
      </x:c>
      <x:c r="C9" s="9" t="n">
        <x:v>0.0569535547432238</x:v>
      </x:c>
      <x:c r="D9" s="9" t="n">
        <x:v>0.0029972946856220875</x:v>
      </x:c>
      <x:c r="E9" s="13" t="n">
        <x:v>0.875</x:v>
      </x:c>
      <x:c r="F9" s="9" t="n">
        <x:v>14.416666666666666</x:v>
      </x:c>
      <x:c r="G9" s="11" t="n">
        <x:v>0</x:v>
      </x:c>
      <x:c r="H9" s="11" t="n">
        <x:v>0</x:v>
      </x:c>
      <x:c r="I9" s="11" t="n">
        <x:v>7</x:v>
      </x:c>
      <x:c r="J9" s="9" t="str">
        <x:v>40567fda87a2734f31a680db90e54d5f975a73b7930bc487be821d0cc5c9f243</x:v>
      </x:c>
    </x:row>
    <x:row r="10" ht="24" customHeight="1">
      <x:c r="A10" s="21" t="n">
        <x:v>16411</x:v>
      </x:c>
      <x:c r="B10" s="22" t="str">
        <x:v>W</x:v>
      </x:c>
      <x:c r="C10" s="5" t="n">
        <x:v>0.11478023788568874</x:v>
      </x:c>
      <x:c r="D10" s="5" t="n">
        <x:v>0.01815237275645583</x:v>
      </x:c>
      <x:c r="E10" s="12" t="n">
        <x:v>0.7916666666666666</x:v>
      </x:c>
      <x:c r="F10" s="5" t="n">
        <x:v>20.416666666666668</x:v>
      </x:c>
      <x:c r="G10" s="10" t="n">
        <x:v>0</x:v>
      </x:c>
      <x:c r="H10" s="10" t="n">
        <x:v>0</x:v>
      </x:c>
      <x:c r="I10" s="10" t="n">
        <x:v>7</x:v>
      </x:c>
      <x:c r="J10" s="5" t="str">
        <x:v>0dbee9c94b5e5efc9a9cdca66a9bc31175f95d7731d62c1461c290813759b653</x:v>
      </x:c>
    </x:row>
    <x:row r="11" ht="24" customHeight="1">
      <x:c r="A11" s="23" t="n">
        <x:v>16411</x:v>
      </x:c>
      <x:c r="B11" s="24" t="str">
        <x:v>B2</x:v>
      </x:c>
      <x:c r="C11" s="9" t="n">
        <x:v>0.032320766487945414</x:v>
      </x:c>
      <x:c r="D11" s="9" t="n">
        <x:v>0.014444999765826373</x:v>
      </x:c>
      <x:c r="E11" s="13" t="n">
        <x:v>0.625</x:v>
      </x:c>
      <x:c r="F11" s="9" t="n">
        <x:v>17.791666666666668</x:v>
      </x:c>
      <x:c r="G11" s="11" t="n">
        <x:v>0</x:v>
      </x:c>
      <x:c r="H11" s="11" t="n">
        <x:v>0</x:v>
      </x:c>
      <x:c r="I11" s="11"/>
      <x:c r="J11" s="9" t="str">
        <x:v>958fbb12279a15966bf1ffa45ddffc7cd5f946ca800a3fe2b8e132a150c5c190</x:v>
      </x:c>
    </x:row>
    <x:row r="12" ht="24" customHeight="1">
      <x:c r="A12" s="21" t="n">
        <x:v>16423</x:v>
      </x:c>
      <x:c r="B12" s="22" t="str">
        <x:v>A0</x:v>
      </x:c>
      <x:c r="C12" s="5" t="n">
        <x:v>0.14334569615867312</x:v>
      </x:c>
      <x:c r="D12" s="5" t="n">
        <x:v>0.027134179553972165</x:v>
      </x:c>
      <x:c r="E12" s="12" t="n">
        <x:v>0.6666666666666666</x:v>
      </x:c>
      <x:c r="F12" s="5" t="n">
        <x:v>19.083333333333332</x:v>
      </x:c>
      <x:c r="G12" s="10" t="n">
        <x:v>0</x:v>
      </x:c>
      <x:c r="H12" s="10" t="n">
        <x:v>0</x:v>
      </x:c>
      <x:c r="I12" s="10" t="n">
        <x:v>-1</x:v>
      </x:c>
      <x:c r="J12" s="5" t="str">
        <x:v>5b74e5a3fe2fc90fcb42a603b058fa7befbf65f38775caa77acd30cdf619b640</x:v>
      </x:c>
    </x:row>
    <x:row r="13" ht="24" customHeight="1">
      <x:c r="A13" s="23" t="n">
        <x:v>16423</x:v>
      </x:c>
      <x:c r="B13" s="24" t="str">
        <x:v>I</x:v>
      </x:c>
      <x:c r="C13" s="9" t="n">
        <x:v>0.0991530633596627</x:v>
      </x:c>
      <x:c r="D13" s="9" t="n">
        <x:v>0.013204466630187737</x:v>
      </x:c>
      <x:c r="E13" s="13" t="n">
        <x:v>0.5833333333333334</x:v>
      </x:c>
      <x:c r="F13" s="9" t="n">
        <x:v>22.5</x:v>
      </x:c>
      <x:c r="G13" s="11" t="n">
        <x:v>0</x:v>
      </x:c>
      <x:c r="H13" s="11" t="n">
        <x:v>0</x:v>
      </x:c>
      <x:c r="I13" s="11" t="n">
        <x:v>2</x:v>
      </x:c>
      <x:c r="J13" s="9" t="str">
        <x:v>18d947b01f6b715e793cbf0b629fc6827c99814a3bd97f307802c948b070a91b</x:v>
      </x:c>
    </x:row>
    <x:row r="14" ht="24" customHeight="1">
      <x:c r="A14" s="21" t="n">
        <x:v>16423</x:v>
      </x:c>
      <x:c r="B14" s="22" t="str">
        <x:v>C</x:v>
      </x:c>
      <x:c r="C14" s="5" t="n">
        <x:v>0.07307463197178905</x:v>
      </x:c>
      <x:c r="D14" s="5" t="n">
        <x:v>0.0010428511840148533</x:v>
      </x:c>
      <x:c r="E14" s="12" t="n">
        <x:v>0.9583333333333334</x:v>
      </x:c>
      <x:c r="F14" s="5" t="n">
        <x:v>11.041666666666666</x:v>
      </x:c>
      <x:c r="G14" s="10" t="n">
        <x:v>0</x:v>
      </x:c>
      <x:c r="H14" s="10" t="n">
        <x:v>0</x:v>
      </x:c>
      <x:c r="I14" s="10" t="n">
        <x:v>4</x:v>
      </x:c>
      <x:c r="J14" s="5" t="str">
        <x:v>542b06a9be2429dc27a0c8f79b0164c02fa079dfbe868b35e0424f92fa026778</x:v>
      </x:c>
    </x:row>
    <x:row r="15" ht="24" customHeight="1">
      <x:c r="A15" s="23" t="n">
        <x:v>16423</x:v>
      </x:c>
      <x:c r="B15" s="24" t="str">
        <x:v>R</x:v>
      </x:c>
      <x:c r="C15" s="9" t="n">
        <x:v>0.09289959615131498</x:v>
      </x:c>
      <x:c r="D15" s="9" t="n">
        <x:v>0.0468250240753666</x:v>
      </x:c>
      <x:c r="E15" s="13" t="n">
        <x:v>0.5416666666666666</x:v>
      </x:c>
      <x:c r="F15" s="9" t="n">
        <x:v>23.375</x:v>
      </x:c>
      <x:c r="G15" s="11" t="n">
        <x:v>0</x:v>
      </x:c>
      <x:c r="H15" s="11" t="n">
        <x:v>0</x:v>
      </x:c>
      <x:c r="I15" s="11" t="n">
        <x:v>6</x:v>
      </x:c>
      <x:c r="J15" s="9" t="str">
        <x:v>65a614e9dbde2d2400ba8832c7416d1ac30ca39730de3d195aef73b087b9a2b4</x:v>
      </x:c>
    </x:row>
    <x:row r="16" ht="24" customHeight="1">
      <x:c r="A16" s="21" t="n">
        <x:v>16423</x:v>
      </x:c>
      <x:c r="B16" s="22" t="str">
        <x:v>W</x:v>
      </x:c>
      <x:c r="C16" s="5" t="n">
        <x:v>0.12470247019007012</x:v>
      </x:c>
      <x:c r="D16" s="5" t="n">
        <x:v>0.02193176560359726</x:v>
      </x:c>
      <x:c r="E16" s="12" t="n">
        <x:v>0.625</x:v>
      </x:c>
      <x:c r="F16" s="5" t="n">
        <x:v>21.791666666666668</x:v>
      </x:c>
      <x:c r="G16" s="10" t="n">
        <x:v>0</x:v>
      </x:c>
      <x:c r="H16" s="10" t="n">
        <x:v>0</x:v>
      </x:c>
      <x:c r="I16" s="10" t="n">
        <x:v>7</x:v>
      </x:c>
      <x:c r="J16" s="5" t="str">
        <x:v>f089c84a0a2c5169c984d75f3615fd4c6602fba366d827262bdbf20486ecc4d7</x:v>
      </x:c>
    </x:row>
    <x:row r="17" ht="24" customHeight="1">
      <x:c r="A17" s="23" t="n">
        <x:v>16423</x:v>
      </x:c>
      <x:c r="B17" s="24" t="str">
        <x:v>B2</x:v>
      </x:c>
      <x:c r="C17" s="9" t="n">
        <x:v>0.030315606482692128</x:v>
      </x:c>
      <x:c r="D17" s="9" t="n">
        <x:v>0.01548410938416768</x:v>
      </x:c>
      <x:c r="E17" s="13" t="n">
        <x:v>0.625</x:v>
      </x:c>
      <x:c r="F17" s="9" t="n">
        <x:v>19.666666666666668</x:v>
      </x:c>
      <x:c r="G17" s="11" t="n">
        <x:v>0</x:v>
      </x:c>
      <x:c r="H17" s="11" t="n">
        <x:v>0</x:v>
      </x:c>
      <x:c r="I17" s="11"/>
      <x:c r="J17" s="9" t="str">
        <x:v>958fbb12279a15966bf1ffa45ddffc7cd5f946ca800a3fe2b8e132a150c5c190</x:v>
      </x:c>
    </x:row>
    <x:row r="18" ht="24" customHeight="1">
      <x:c r="A18" s="21" t="n">
        <x:v>16437</x:v>
      </x:c>
      <x:c r="B18" s="22" t="str">
        <x:v>A0</x:v>
      </x:c>
      <x:c r="C18" s="5" t="n">
        <x:v>0.22416666320232717</x:v>
      </x:c>
      <x:c r="D18" s="5" t="n">
        <x:v>0.01821015234898313</x:v>
      </x:c>
      <x:c r="E18" s="12" t="n">
        <x:v>0.5416666666666666</x:v>
      </x:c>
      <x:c r="F18" s="5" t="n">
        <x:v>23.666666666666668</x:v>
      </x:c>
      <x:c r="G18" s="10" t="n">
        <x:v>0</x:v>
      </x:c>
      <x:c r="H18" s="10" t="n">
        <x:v>0</x:v>
      </x:c>
      <x:c r="I18" s="10" t="n">
        <x:v>-1</x:v>
      </x:c>
      <x:c r="J18" s="5" t="str">
        <x:v>5b74e5a3fe2fc90fcb42a603b058fa7befbf65f38775caa77acd30cdf619b640</x:v>
      </x:c>
    </x:row>
    <x:row r="19" ht="24" customHeight="1">
      <x:c r="A19" s="23" t="n">
        <x:v>16437</x:v>
      </x:c>
      <x:c r="B19" s="24" t="str">
        <x:v>I</x:v>
      </x:c>
      <x:c r="C19" s="9" t="n">
        <x:v>0.019061952329778774</x:v>
      </x:c>
      <x:c r="D19" s="9" t="n">
        <x:v>0.004400370068866716</x:v>
      </x:c>
      <x:c r="E19" s="13" t="n">
        <x:v>0.875</x:v>
      </x:c>
      <x:c r="F19" s="9" t="n">
        <x:v>13.041666666666666</x:v>
      </x:c>
      <x:c r="G19" s="11" t="n">
        <x:v>0</x:v>
      </x:c>
      <x:c r="H19" s="11" t="n">
        <x:v>0</x:v>
      </x:c>
      <x:c r="I19" s="11" t="n">
        <x:v>1</x:v>
      </x:c>
      <x:c r="J19" s="9" t="str">
        <x:v>7f8e3ad93db61ae806a9fee9e927d13310d6e15deaf6937328a4f8b03a9b9d2e</x:v>
      </x:c>
    </x:row>
    <x:row r="20" ht="24" customHeight="1">
      <x:c r="A20" s="21" t="n">
        <x:v>16437</x:v>
      </x:c>
      <x:c r="B20" s="22" t="str">
        <x:v>C</x:v>
      </x:c>
      <x:c r="C20" s="5" t="n">
        <x:v>0.05228305495349836</x:v>
      </x:c>
      <x:c r="D20" s="5" t="n">
        <x:v>0.0008980949031475307</x:v>
      </x:c>
      <x:c r="E20" s="12" t="n">
        <x:v>1</x:v>
      </x:c>
      <x:c r="F20" s="5" t="n">
        <x:v>12.375</x:v>
      </x:c>
      <x:c r="G20" s="10" t="n">
        <x:v>0</x:v>
      </x:c>
      <x:c r="H20" s="10" t="n">
        <x:v>0</x:v>
      </x:c>
      <x:c r="I20" s="10" t="n">
        <x:v>4</x:v>
      </x:c>
      <x:c r="J20" s="5" t="str">
        <x:v>8b76006651ba0f63d02a15f8977cfb5b94a4270f8c2df945450c62acb01d8058</x:v>
      </x:c>
    </x:row>
    <x:row r="21" ht="24" customHeight="1">
      <x:c r="A21" s="23" t="n">
        <x:v>16437</x:v>
      </x:c>
      <x:c r="B21" s="24" t="str">
        <x:v>R</x:v>
      </x:c>
      <x:c r="C21" s="9" t="n">
        <x:v>0.09534079992837387</x:v>
      </x:c>
      <x:c r="D21" s="9" t="n">
        <x:v>0.02042282658664941</x:v>
      </x:c>
      <x:c r="E21" s="13" t="n">
        <x:v>0.5833333333333334</x:v>
      </x:c>
      <x:c r="F21" s="9" t="n">
        <x:v>22.416666666666668</x:v>
      </x:c>
      <x:c r="G21" s="11" t="n">
        <x:v>0</x:v>
      </x:c>
      <x:c r="H21" s="11" t="n">
        <x:v>0</x:v>
      </x:c>
      <x:c r="I21" s="11" t="n">
        <x:v>4</x:v>
      </x:c>
      <x:c r="J21" s="9" t="str">
        <x:v>273282cda608b8c4822f5485a57996977dfa3960c439debd646ccdfb692ebecf</x:v>
      </x:c>
    </x:row>
    <x:row r="22" ht="24" customHeight="1">
      <x:c r="A22" s="21" t="n">
        <x:v>16437</x:v>
      </x:c>
      <x:c r="B22" s="22" t="str">
        <x:v>W</x:v>
      </x:c>
      <x:c r="C22" s="5" t="n">
        <x:v>0.08572659975932606</x:v>
      </x:c>
      <x:c r="D22" s="5" t="n">
        <x:v>0.017686676139233245</x:v>
      </x:c>
      <x:c r="E22" s="12" t="n">
        <x:v>0.5833333333333334</x:v>
      </x:c>
      <x:c r="F22" s="5" t="n">
        <x:v>23.5</x:v>
      </x:c>
      <x:c r="G22" s="10" t="n">
        <x:v>0</x:v>
      </x:c>
      <x:c r="H22" s="10" t="n">
        <x:v>0</x:v>
      </x:c>
      <x:c r="I22" s="10" t="n">
        <x:v>0</x:v>
      </x:c>
      <x:c r="J22" s="5" t="str">
        <x:v>967bd31138a654a7e203501ad068e9c011b96a8071b7d10edb904d54959b1a99</x:v>
      </x:c>
    </x:row>
    <x:row r="23" ht="24" customHeight="1">
      <x:c r="A23" s="23" t="n">
        <x:v>16437</x:v>
      </x:c>
      <x:c r="B23" s="24" t="str">
        <x:v>B2</x:v>
      </x:c>
      <x:c r="C23" s="9" t="n">
        <x:v>0.03235321733625798</x:v>
      </x:c>
      <x:c r="D23" s="9" t="n">
        <x:v>0.014490274400613087</x:v>
      </x:c>
      <x:c r="E23" s="13" t="n">
        <x:v>0.6666666666666666</x:v>
      </x:c>
      <x:c r="F23" s="9" t="n">
        <x:v>17.958333333333332</x:v>
      </x:c>
      <x:c r="G23" s="11" t="n">
        <x:v>0</x:v>
      </x:c>
      <x:c r="H23" s="11" t="n">
        <x:v>0</x:v>
      </x:c>
      <x:c r="I23" s="11"/>
      <x:c r="J23" s="9" t="str">
        <x:v>958fbb12279a15966bf1ffa45ddffc7cd5f946ca800a3fe2b8e132a150c5c190</x:v>
      </x:c>
    </x:row>
    <x:row r="24" ht="24" customHeight="1">
      <x:c r="A24" s="21" t="n">
        <x:v>16441</x:v>
      </x:c>
      <x:c r="B24" s="22" t="str">
        <x:v>A0</x:v>
      </x:c>
      <x:c r="C24" s="5" t="n">
        <x:v>0.19922391546413534</x:v>
      </x:c>
      <x:c r="D24" s="5" t="n">
        <x:v>0.039556593029603244</x:v>
      </x:c>
      <x:c r="E24" s="12" t="n">
        <x:v>0.5416666666666666</x:v>
      </x:c>
      <x:c r="F24" s="5" t="n">
        <x:v>24.458333333333332</x:v>
      </x:c>
      <x:c r="G24" s="10" t="n">
        <x:v>0</x:v>
      </x:c>
      <x:c r="H24" s="10" t="n">
        <x:v>0</x:v>
      </x:c>
      <x:c r="I24" s="10" t="n">
        <x:v>-1</x:v>
      </x:c>
      <x:c r="J24" s="5" t="str">
        <x:v>5b74e5a3fe2fc90fcb42a603b058fa7befbf65f38775caa77acd30cdf619b640</x:v>
      </x:c>
    </x:row>
    <x:row r="25" ht="24" customHeight="1">
      <x:c r="A25" s="23" t="n">
        <x:v>16441</x:v>
      </x:c>
      <x:c r="B25" s="24" t="str">
        <x:v>I</x:v>
      </x:c>
      <x:c r="C25" s="9" t="n">
        <x:v>0.10253902528875665</x:v>
      </x:c>
      <x:c r="D25" s="9" t="n">
        <x:v>0.0033548043972452153</x:v>
      </x:c>
      <x:c r="E25" s="13" t="n">
        <x:v>0.9166666666666666</x:v>
      </x:c>
      <x:c r="F25" s="9" t="n">
        <x:v>13</x:v>
      </x:c>
      <x:c r="G25" s="11" t="n">
        <x:v>0</x:v>
      </x:c>
      <x:c r="H25" s="11" t="n">
        <x:v>0</x:v>
      </x:c>
      <x:c r="I25" s="11" t="n">
        <x:v>0</x:v>
      </x:c>
      <x:c r="J25" s="9" t="str">
        <x:v>6941279c4811f9c4dafebe32c4ea1364c21cc282a0cf4a9866ebdc534591c61b</x:v>
      </x:c>
    </x:row>
    <x:row r="26" ht="24" customHeight="1">
      <x:c r="A26" s="21" t="n">
        <x:v>16441</x:v>
      </x:c>
      <x:c r="B26" s="22" t="str">
        <x:v>C</x:v>
      </x:c>
      <x:c r="C26" s="5" t="n">
        <x:v>0.01617665404583922</x:v>
      </x:c>
      <x:c r="D26" s="5" t="n">
        <x:v>0.0001621138424134935</x:v>
      </x:c>
      <x:c r="E26" s="12" t="n">
        <x:v>1</x:v>
      </x:c>
      <x:c r="F26" s="5" t="n">
        <x:v>9.666666666666666</x:v>
      </x:c>
      <x:c r="G26" s="10" t="n">
        <x:v>0</x:v>
      </x:c>
      <x:c r="H26" s="10" t="n">
        <x:v>0</x:v>
      </x:c>
      <x:c r="I26" s="10" t="n">
        <x:v>7</x:v>
      </x:c>
      <x:c r="J26" s="5" t="str">
        <x:v>9a2716c0133663fc63317ba44ea10788505dab3d2bce4a6bbca73a42fca2c13d</x:v>
      </x:c>
    </x:row>
    <x:row r="27" ht="24" customHeight="1">
      <x:c r="A27" s="23" t="n">
        <x:v>16441</x:v>
      </x:c>
      <x:c r="B27" s="24" t="str">
        <x:v>R</x:v>
      </x:c>
      <x:c r="C27" s="9" t="n">
        <x:v>0.14625512410861438</x:v>
      </x:c>
      <x:c r="D27" s="9" t="n">
        <x:v>0.03239314736291867</x:v>
      </x:c>
      <x:c r="E27" s="13" t="n">
        <x:v>0.5833333333333334</x:v>
      </x:c>
      <x:c r="F27" s="9" t="n">
        <x:v>22.833333333333332</x:v>
      </x:c>
      <x:c r="G27" s="11" t="n">
        <x:v>0</x:v>
      </x:c>
      <x:c r="H27" s="11" t="n">
        <x:v>0</x:v>
      </x:c>
      <x:c r="I27" s="11" t="n">
        <x:v>7</x:v>
      </x:c>
      <x:c r="J27" s="9" t="str">
        <x:v>fcabb956294ef66c414d4a20c8be3a3f59914940703da35481f2e2aa1244ade9</x:v>
      </x:c>
    </x:row>
    <x:row r="28" ht="24" customHeight="1">
      <x:c r="A28" s="21" t="n">
        <x:v>16441</x:v>
      </x:c>
      <x:c r="B28" s="22" t="str">
        <x:v>W</x:v>
      </x:c>
      <x:c r="C28" s="5" t="n">
        <x:v>0.15844276439608906</x:v>
      </x:c>
      <x:c r="D28" s="5" t="n">
        <x:v>0.06123027389859369</x:v>
      </x:c>
      <x:c r="E28" s="12" t="n">
        <x:v>0.375</x:v>
      </x:c>
      <x:c r="F28" s="5" t="n">
        <x:v>25.583333333333332</x:v>
      </x:c>
      <x:c r="G28" s="10" t="n">
        <x:v>0</x:v>
      </x:c>
      <x:c r="H28" s="10" t="n">
        <x:v>0</x:v>
      </x:c>
      <x:c r="I28" s="10" t="n">
        <x:v>2</x:v>
      </x:c>
      <x:c r="J28" s="5" t="str">
        <x:v>78153f21e74f965b4756c1c0491ecde9ffe884dbd05a55d5bb3ab6475574b7c2</x:v>
      </x:c>
    </x:row>
    <x:row r="29" ht="24" customHeight="1">
      <x:c r="A29" s="23" t="n">
        <x:v>16441</x:v>
      </x:c>
      <x:c r="B29" s="24" t="str">
        <x:v>B2</x:v>
      </x:c>
      <x:c r="C29" s="9" t="n">
        <x:v>0.03146878800719422</x:v>
      </x:c>
      <x:c r="D29" s="9" t="n">
        <x:v>0.014735948340287849</x:v>
      </x:c>
      <x:c r="E29" s="13" t="n">
        <x:v>0.5</x:v>
      </x:c>
      <x:c r="F29" s="9" t="n">
        <x:v>21.791666666666668</x:v>
      </x:c>
      <x:c r="G29" s="11" t="n">
        <x:v>0</x:v>
      </x:c>
      <x:c r="H29" s="11" t="n">
        <x:v>0</x:v>
      </x:c>
      <x:c r="I29" s="11"/>
      <x:c r="J29" s="9" t="str">
        <x:v>958fbb12279a15966bf1ffa45ddffc7cd5f946ca800a3fe2b8e132a150c5c190</x:v>
      </x:c>
    </x:row>
    <x:row r="30" ht="24" customHeight="1">
      <x:c r="A30" s="21" t="n">
        <x:v>16453</x:v>
      </x:c>
      <x:c r="B30" s="22" t="str">
        <x:v>A0</x:v>
      </x:c>
      <x:c r="C30" s="5" t="n">
        <x:v>0.18260477422879817</x:v>
      </x:c>
      <x:c r="D30" s="5" t="n">
        <x:v>0.022418831031755185</x:v>
      </x:c>
      <x:c r="E30" s="12" t="n">
        <x:v>0.5</x:v>
      </x:c>
      <x:c r="F30" s="5" t="n">
        <x:v>24.166666666666668</x:v>
      </x:c>
      <x:c r="G30" s="10" t="n">
        <x:v>0</x:v>
      </x:c>
      <x:c r="H30" s="10" t="n">
        <x:v>0</x:v>
      </x:c>
      <x:c r="I30" s="10" t="n">
        <x:v>-1</x:v>
      </x:c>
      <x:c r="J30" s="5" t="str">
        <x:v>5b74e5a3fe2fc90fcb42a603b058fa7befbf65f38775caa77acd30cdf619b640</x:v>
      </x:c>
    </x:row>
    <x:row r="31" ht="24" customHeight="1">
      <x:c r="A31" s="23" t="n">
        <x:v>16453</x:v>
      </x:c>
      <x:c r="B31" s="24" t="str">
        <x:v>I</x:v>
      </x:c>
      <x:c r="C31" s="9" t="n">
        <x:v>0.057486440347618635</x:v>
      </x:c>
      <x:c r="D31" s="9" t="n">
        <x:v>0.002283093624658101</x:v>
      </x:c>
      <x:c r="E31" s="13" t="n">
        <x:v>0.9583333333333334</x:v>
      </x:c>
      <x:c r="F31" s="9" t="n">
        <x:v>13.208333333333334</x:v>
      </x:c>
      <x:c r="G31" s="11" t="n">
        <x:v>0</x:v>
      </x:c>
      <x:c r="H31" s="11" t="n">
        <x:v>0</x:v>
      </x:c>
      <x:c r="I31" s="11" t="n">
        <x:v>4</x:v>
      </x:c>
      <x:c r="J31" s="9" t="str">
        <x:v>43f0054fe091d893299454d0322b407322f51f0bb6f5b064c8894370acf2b9ee</x:v>
      </x:c>
    </x:row>
    <x:row r="32" ht="24" customHeight="1">
      <x:c r="A32" s="21" t="n">
        <x:v>16453</x:v>
      </x:c>
      <x:c r="B32" s="22" t="str">
        <x:v>C</x:v>
      </x:c>
      <x:c r="C32" s="5" t="n">
        <x:v>0.07434807366877418</x:v>
      </x:c>
      <x:c r="D32" s="5" t="n">
        <x:v>0.012189450988730557</x:v>
      </x:c>
      <x:c r="E32" s="12" t="n">
        <x:v>0.5416666666666666</x:v>
      </x:c>
      <x:c r="F32" s="5" t="n">
        <x:v>21.041666666666668</x:v>
      </x:c>
      <x:c r="G32" s="10" t="n">
        <x:v>0</x:v>
      </x:c>
      <x:c r="H32" s="10" t="n">
        <x:v>0</x:v>
      </x:c>
      <x:c r="I32" s="10" t="n">
        <x:v>5</x:v>
      </x:c>
      <x:c r="J32" s="5" t="str">
        <x:v>33c1a1064802d580860fe5648f8abe0a81a3bcf218968b1fbd69506afcb435d4</x:v>
      </x:c>
    </x:row>
    <x:row r="33" ht="24" customHeight="1">
      <x:c r="A33" s="23" t="n">
        <x:v>16453</x:v>
      </x:c>
      <x:c r="B33" s="24" t="str">
        <x:v>R</x:v>
      </x:c>
      <x:c r="C33" s="9" t="n">
        <x:v>0.18260477422879817</x:v>
      </x:c>
      <x:c r="D33" s="9" t="n">
        <x:v>0.022418831031755185</x:v>
      </x:c>
      <x:c r="E33" s="13" t="n">
        <x:v>0.5</x:v>
      </x:c>
      <x:c r="F33" s="9" t="n">
        <x:v>24.166666666666668</x:v>
      </x:c>
      <x:c r="G33" s="11" t="n">
        <x:v>0</x:v>
      </x:c>
      <x:c r="H33" s="11" t="n">
        <x:v>0</x:v>
      </x:c>
      <x:c r="I33" s="11" t="n">
        <x:v>-1</x:v>
      </x:c>
      <x:c r="J33" s="9" t="str">
        <x:v>5b74e5a3fe2fc90fcb42a603b058fa7befbf65f38775caa77acd30cdf619b640</x:v>
      </x:c>
    </x:row>
    <x:row r="34" ht="24" customHeight="1">
      <x:c r="A34" s="21" t="n">
        <x:v>16453</x:v>
      </x:c>
      <x:c r="B34" s="22" t="str">
        <x:v>W</x:v>
      </x:c>
      <x:c r="C34" s="5" t="n">
        <x:v>0.07198907068775794</x:v>
      </x:c>
      <x:c r="D34" s="5" t="n">
        <x:v>0.00880254306606347</x:v>
      </x:c>
      <x:c r="E34" s="12" t="n">
        <x:v>0.75</x:v>
      </x:c>
      <x:c r="F34" s="5" t="n">
        <x:v>19.5</x:v>
      </x:c>
      <x:c r="G34" s="10" t="n">
        <x:v>0</x:v>
      </x:c>
      <x:c r="H34" s="10" t="n">
        <x:v>0</x:v>
      </x:c>
      <x:c r="I34" s="10" t="n">
        <x:v>6</x:v>
      </x:c>
      <x:c r="J34" s="5" t="str">
        <x:v>befe80644d8078d824d4210ff14420d573fb864365b8db3182f2982187e622f5</x:v>
      </x:c>
    </x:row>
    <x:row r="35" ht="24" customHeight="1">
      <x:c r="A35" s="23" t="n">
        <x:v>16453</x:v>
      </x:c>
      <x:c r="B35" s="24" t="str">
        <x:v>B2</x:v>
      </x:c>
      <x:c r="C35" s="9" t="n">
        <x:v>0.03190218344787119</x:v>
      </x:c>
      <x:c r="D35" s="9" t="n">
        <x:v>0.010598006207396808</x:v>
      </x:c>
      <x:c r="E35" s="13" t="n">
        <x:v>0.7083333333333334</x:v>
      </x:c>
      <x:c r="F35" s="9" t="n">
        <x:v>17.333333333333332</x:v>
      </x:c>
      <x:c r="G35" s="11" t="n">
        <x:v>0</x:v>
      </x:c>
      <x:c r="H35" s="11" t="n">
        <x:v>0</x:v>
      </x:c>
      <x:c r="I35" s="11"/>
      <x:c r="J35" s="9" t="str">
        <x:v>958fbb12279a15966bf1ffa45ddffc7cd5f946ca800a3fe2b8e132a150c5c190</x:v>
      </x:c>
    </x:row>
    <x:row r="36" ht="24" customHeight="1">
      <x:c r="A36" s="21" t="n">
        <x:v>16467</x:v>
      </x:c>
      <x:c r="B36" s="22" t="str">
        <x:v>A0</x:v>
      </x:c>
      <x:c r="C36" s="5" t="n">
        <x:v>0.17957041477907068</x:v>
      </x:c>
      <x:c r="D36" s="5" t="n">
        <x:v>0.029336643065855237</x:v>
      </x:c>
      <x:c r="E36" s="12" t="n">
        <x:v>0.625</x:v>
      </x:c>
      <x:c r="F36" s="5" t="n">
        <x:v>23.041666666666668</x:v>
      </x:c>
      <x:c r="G36" s="10" t="n">
        <x:v>0</x:v>
      </x:c>
      <x:c r="H36" s="10" t="n">
        <x:v>0</x:v>
      </x:c>
      <x:c r="I36" s="10" t="n">
        <x:v>-1</x:v>
      </x:c>
      <x:c r="J36" s="5" t="str">
        <x:v>5b74e5a3fe2fc90fcb42a603b058fa7befbf65f38775caa77acd30cdf619b640</x:v>
      </x:c>
    </x:row>
    <x:row r="37" ht="24" customHeight="1">
      <x:c r="A37" s="23" t="n">
        <x:v>16467</x:v>
      </x:c>
      <x:c r="B37" s="24" t="str">
        <x:v>I</x:v>
      </x:c>
      <x:c r="C37" s="9" t="n">
        <x:v>0.09680241672220602</x:v>
      </x:c>
      <x:c r="D37" s="9" t="n">
        <x:v>0.0020539827025786916</x:v>
      </x:c>
      <x:c r="E37" s="13" t="n">
        <x:v>0.9583333333333334</x:v>
      </x:c>
      <x:c r="F37" s="9" t="n">
        <x:v>13.208333333333334</x:v>
      </x:c>
      <x:c r="G37" s="11" t="n">
        <x:v>0</x:v>
      </x:c>
      <x:c r="H37" s="11" t="n">
        <x:v>0</x:v>
      </x:c>
      <x:c r="I37" s="11" t="n">
        <x:v>6</x:v>
      </x:c>
      <x:c r="J37" s="9" t="str">
        <x:v>d2cc3dc879a47fce40cb13c91dac15e5b5a02564a4e755d6c86d62791a1d0dc8</x:v>
      </x:c>
    </x:row>
    <x:row r="38" ht="24" customHeight="1">
      <x:c r="A38" s="21" t="n">
        <x:v>16467</x:v>
      </x:c>
      <x:c r="B38" s="22" t="str">
        <x:v>C</x:v>
      </x:c>
      <x:c r="C38" s="5" t="n">
        <x:v>0.020915861860674446</x:v>
      </x:c>
      <x:c r="D38" s="5" t="n">
        <x:v>0.0013885471517225507</x:v>
      </x:c>
      <x:c r="E38" s="12" t="n">
        <x:v>1</x:v>
      </x:c>
      <x:c r="F38" s="5" t="n">
        <x:v>8.875</x:v>
      </x:c>
      <x:c r="G38" s="10" t="n">
        <x:v>0</x:v>
      </x:c>
      <x:c r="H38" s="10" t="n">
        <x:v>0</x:v>
      </x:c>
      <x:c r="I38" s="10" t="n">
        <x:v>3</x:v>
      </x:c>
      <x:c r="J38" s="5" t="str">
        <x:v>bf00204cecf90c5f24318562b05097ae63b522bc65d98826b65a40bac32a440b</x:v>
      </x:c>
    </x:row>
    <x:row r="39" ht="24" customHeight="1">
      <x:c r="A39" s="23" t="n">
        <x:v>16467</x:v>
      </x:c>
      <x:c r="B39" s="24" t="str">
        <x:v>R</x:v>
      </x:c>
      <x:c r="C39" s="9" t="n">
        <x:v>0.16104802456136005</x:v>
      </x:c>
      <x:c r="D39" s="9" t="n">
        <x:v>0.022451102226037203</x:v>
      </x:c>
      <x:c r="E39" s="13" t="n">
        <x:v>0.5833333333333334</x:v>
      </x:c>
      <x:c r="F39" s="9" t="n">
        <x:v>23.875</x:v>
      </x:c>
      <x:c r="G39" s="11" t="n">
        <x:v>0</x:v>
      </x:c>
      <x:c r="H39" s="11" t="n">
        <x:v>0</x:v>
      </x:c>
      <x:c r="I39" s="11" t="n">
        <x:v>2</x:v>
      </x:c>
      <x:c r="J39" s="9" t="str">
        <x:v>9a8dfe5890b2ae04ff00175218d1ecea91beee1189aa6ce0524acbefe53500e2</x:v>
      </x:c>
    </x:row>
    <x:row r="40" ht="24" customHeight="1">
      <x:c r="A40" s="21" t="n">
        <x:v>16467</x:v>
      </x:c>
      <x:c r="B40" s="22" t="str">
        <x:v>W</x:v>
      </x:c>
      <x:c r="C40" s="5" t="n">
        <x:v>0.11985094252552018</x:v>
      </x:c>
      <x:c r="D40" s="5" t="n">
        <x:v>0.03984596093213493</x:v>
      </x:c>
      <x:c r="E40" s="12" t="n">
        <x:v>0.4583333333333333</x:v>
      </x:c>
      <x:c r="F40" s="5" t="n">
        <x:v>23.791666666666668</x:v>
      </x:c>
      <x:c r="G40" s="10" t="n">
        <x:v>0</x:v>
      </x:c>
      <x:c r="H40" s="10" t="n">
        <x:v>0</x:v>
      </x:c>
      <x:c r="I40" s="10" t="n">
        <x:v>3</x:v>
      </x:c>
      <x:c r="J40" s="5" t="str">
        <x:v>803ba3e415b0ccdddaee4cedc4d2916b25d3aacee5c8785829a10baa32aaf19d</x:v>
      </x:c>
    </x:row>
    <x:row r="41" ht="24" customHeight="1">
      <x:c r="A41" s="23" t="n">
        <x:v>16467</x:v>
      </x:c>
      <x:c r="B41" s="24" t="str">
        <x:v>B2</x:v>
      </x:c>
      <x:c r="C41" s="9" t="n">
        <x:v>0.03143750237525434</x:v>
      </x:c>
      <x:c r="D41" s="9" t="n">
        <x:v>0.015956137025376467</x:v>
      </x:c>
      <x:c r="E41" s="13" t="n">
        <x:v>0.6666666666666666</x:v>
      </x:c>
      <x:c r="F41" s="9" t="n">
        <x:v>16.333333333333332</x:v>
      </x:c>
      <x:c r="G41" s="11" t="n">
        <x:v>0</x:v>
      </x:c>
      <x:c r="H41" s="11" t="n">
        <x:v>0</x:v>
      </x:c>
      <x:c r="I41" s="11"/>
      <x:c r="J41" s="9" t="str">
        <x:v>958fbb12279a15966bf1ffa45ddffc7cd5f946ca800a3fe2b8e132a150c5c190</x:v>
      </x:c>
    </x:row>
    <x:row r="45" ht="48" customHeight="1">
      <x:c r="A45" s="8" t="str">
        <x:v>Bras</x:v>
      </x:c>
      <x:c r="B45" s="8" t="str">
        <x:v>AUC moyenne</x:v>
      </x:c>
      <x:c r="C45" s="8" t="str">
        <x:v>AUC médiane</x:v>
      </x:c>
      <x:c r="D45" s="8" t="str">
        <x:v>Regret final moyen</x:v>
      </x:c>
      <x:c r="E45" s="8" t="str">
        <x:v>Cible atteinte</x:v>
      </x:c>
      <x:c r="F45" s="8" t="str">
        <x:v>Traj. candidat invalides</x:v>
      </x:c>
      <x:c r="G45" s="8" t="str">
        <x:v>Trajectoires de repli</x:v>
      </x:c>
    </x:row>
    <x:row r="46" ht="24" customHeight="1">
      <x:c r="A46" s="5" t="str">
        <x:v>A0</x:v>
      </x:c>
      <x:c r="B46" s="5" t="n">
        <x:f>AVERAGEIF(B6:B41,A46,C6:C41)</x:f>
        <x:v>0.17932949995198086</x:v>
      </x:c>
      <x:c r="C46" s="5" t="n">
        <x:f>MEDIAN(C6,C12,C18,C24,C30,C36)</x:f>
        <x:v>0.1810875945039344</x:v>
      </x:c>
      <x:c r="D46" s="5" t="n">
        <x:f>AVERAGEIF(B6:B41,A46,D6:D41)</x:f>
        <x:v>0.027274465487250692</x:v>
      </x:c>
      <x:c r="E46" s="12" t="n">
        <x:f>AVERAGEIF(B6:B41,A46,E6:E41)</x:f>
        <x:v>0.5624999999999999</x:v>
      </x:c>
      <x:c r="F46" s="10" t="n">
        <x:f>SUMIF(B6:B41,A46,G6:G41)</x:f>
        <x:v>0</x:v>
      </x:c>
      <x:c r="G46" s="10" t="n">
        <x:f>SUMIF(B6:B41,A46,H6:H41)</x:f>
        <x:v>0</x:v>
      </x:c>
    </x:row>
    <x:row r="47" ht="24" customHeight="1">
      <x:c r="A47" s="9" t="str">
        <x:v>I</x:v>
      </x:c>
      <x:c r="B47" s="9" t="n">
        <x:f>AVERAGEIF(B6:B41,A47,C6:C41)</x:f>
        <x:v>0.0772596704099959</x:v>
      </x:c>
      <x:c r="C47" s="9" t="n">
        <x:f>MEDIAN(C7,C13,C19,C25,C31,C37)</x:f>
        <x:v>0.0926587705670793</x:v>
      </x:c>
      <x:c r="D47" s="9" t="n">
        <x:f>AVERAGEIF(B6:B41,A47,D6:D41)</x:f>
        <x:v>0.0067120140469517885</x:v>
      </x:c>
      <x:c r="E47" s="13" t="n">
        <x:f>AVERAGEIF(B6:B41,A47,E6:E41)</x:f>
        <x:v>0.8055555555555555</x:v>
      </x:c>
      <x:c r="F47" s="11" t="n">
        <x:f>SUMIF(B6:B41,A47,G6:G41)</x:f>
        <x:v>0</x:v>
      </x:c>
      <x:c r="G47" s="11" t="n">
        <x:f>SUMIF(B6:B41,A47,H6:H41)</x:f>
        <x:v>0</x:v>
      </x:c>
    </x:row>
    <x:row r="48" ht="24" customHeight="1">
      <x:c r="A48" s="5" t="str">
        <x:v>C</x:v>
      </x:c>
      <x:c r="B48" s="5" t="n">
        <x:f>AVERAGEIF(B6:B41,A48,C6:C41)</x:f>
        <x:v>0.047588146636035694</x:v>
      </x:c>
      <x:c r="C48" s="5" t="n">
        <x:f>MEDIAN(C8,C14,C20,C26,C32,C38)</x:f>
        <x:v>0.05050682913456865</x:v>
      </x:c>
      <x:c r="D48" s="5" t="n">
        <x:f>AVERAGEIF(B6:B41,A48,D6:D41)</x:f>
        <x:v>0.0026464269699900053</x:v>
      </x:c>
      <x:c r="E48" s="12" t="n">
        <x:f>AVERAGEIF(B6:B41,A48,E6:E41)</x:f>
        <x:v>0.9166666666666666</x:v>
      </x:c>
      <x:c r="F48" s="10" t="n">
        <x:f>SUMIF(B6:B41,A48,G6:G41)</x:f>
        <x:v>0</x:v>
      </x:c>
      <x:c r="G48" s="10" t="n">
        <x:f>SUMIF(B6:B41,A48,H6:H41)</x:f>
        <x:v>0</x:v>
      </x:c>
    </x:row>
    <x:row r="49" ht="24" customHeight="1">
      <x:c r="A49" s="9" t="str">
        <x:v>R</x:v>
      </x:c>
      <x:c r="B49" s="9" t="n">
        <x:f>AVERAGEIF(B6:B41,A49,C6:C41)</x:f>
        <x:v>0.1225169789536142</x:v>
      </x:c>
      <x:c r="C49" s="9" t="n">
        <x:f>MEDIAN(C9,C15,C21,C27,C33,C39)</x:f>
        <x:v>0.12079796201849413</x:v>
      </x:c>
      <x:c r="D49" s="9" t="n">
        <x:f>AVERAGEIF(B6:B41,A49,D6:D41)</x:f>
        <x:v>0.024584704328058194</x:v>
      </x:c>
      <x:c r="E49" s="13" t="n">
        <x:f>AVERAGEIF(B6:B41,A49,E6:E41)</x:f>
        <x:v>0.6111111111111112</x:v>
      </x:c>
      <x:c r="F49" s="11" t="n">
        <x:f>SUMIF(B6:B41,A49,G6:G41)</x:f>
        <x:v>0</x:v>
      </x:c>
      <x:c r="G49" s="11" t="n">
        <x:f>SUMIF(B6:B41,A49,H6:H41)</x:f>
        <x:v>0</x:v>
      </x:c>
    </x:row>
    <x:row r="50" ht="24" customHeight="1">
      <x:c r="A50" s="5" t="str">
        <x:v>W</x:v>
      </x:c>
      <x:c r="B50" s="5" t="n">
        <x:f>AVERAGEIF(B6:B41,A50,C6:C41)</x:f>
        <x:v>0.11258201424074203</x:v>
      </x:c>
      <x:c r="C50" s="5" t="n">
        <x:f>MEDIAN(C10,C16,C22,C28,C34,C40)</x:f>
        <x:v>0.11731559020560446</x:v>
      </x:c>
      <x:c r="D50" s="5" t="n">
        <x:f>AVERAGEIF(B6:B41,A50,D6:D41)</x:f>
        <x:v>0.027941598732679738</x:v>
      </x:c>
      <x:c r="E50" s="12" t="n">
        <x:f>AVERAGEIF(B6:B41,A50,E6:E41)</x:f>
        <x:v>0.5972222222222222</x:v>
      </x:c>
      <x:c r="F50" s="10" t="n">
        <x:f>SUMIF(B6:B41,A50,G6:G41)</x:f>
        <x:v>0</x:v>
      </x:c>
      <x:c r="G50" s="10" t="n">
        <x:f>SUMIF(B6:B41,A50,H6:H41)</x:f>
        <x:v>0</x:v>
      </x:c>
    </x:row>
    <x:row r="51" ht="24" customHeight="1">
      <x:c r="A51" s="9" t="str">
        <x:v>B2</x:v>
      </x:c>
      <x:c r="B51" s="9" t="n">
        <x:f>AVERAGEIF(B6:B41,A51,C6:C41)</x:f>
        <x:v>0.031633010689535876</x:v>
      </x:c>
      <x:c r="C51" s="9" t="n">
        <x:f>MEDIAN(C11,C17,C23,C29,C35,C41)</x:f>
        <x:v>0.03168548572753271</x:v>
      </x:c>
      <x:c r="D51" s="9" t="n">
        <x:f>AVERAGEIF(B6:B41,A51,D6:D41)</x:f>
        <x:v>0.014284912520611375</x:v>
      </x:c>
      <x:c r="E51" s="13" t="n">
        <x:f>AVERAGEIF(B6:B41,A51,E6:E41)</x:f>
        <x:v>0.6319444444444444</x:v>
      </x:c>
      <x:c r="F51" s="11" t="n">
        <x:f>SUMIF(B6:B41,A51,G6:G41)</x:f>
        <x:v>0</x:v>
      </x:c>
      <x:c r="G51" s="11" t="n">
        <x:f>SUMIF(B6:B41,A51,H6:H41)</x:f>
        <x:v>0</x:v>
      </x:c>
    </x:row>
  </x:sheetData>
  <x:pageMargins left="0.7" right="0.7" top="0.75" bottom="0.75" header="0.3" footer="0.3"/>
  <x:tableParts count="2">
    <x:tablePart xmlns:r="http://schemas.openxmlformats.org/officeDocument/2006/relationships" r:id="Re3b253ebab9243a9"/>
    <x:tablePart xmlns:r="http://schemas.openxmlformats.org/officeDocument/2006/relationships" r:id="R8d93ea4afcfd48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1" t="str">
        <x:v>Contrastes appariés enregistrés</x:v>
      </x:c>
    </x:row>
    <x:row r="2" ht="21" customHeight="1">
      <x:c r="A2" s="2" t="str">
        <x:v>Delta = première politique moins seconde. Delta positif : première politique moins bonne.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Intervalles bootstrap importés inchangés. Six seeds ; lecture exploratoire, sans garantie de multiplicité.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8" customHeight="1">
      <x:c r="A5" s="8" t="str">
        <x:v>Contraste</x:v>
      </x:c>
      <x:c r="B5" s="8" t="str">
        <x:v>Portée</x:v>
      </x:c>
      <x:c r="C5" s="8" t="str">
        <x:v>Moyenne ΔAUC</x:v>
      </x:c>
      <x:c r="D5" s="8" t="str">
        <x:v>Médiane ΔAUC</x:v>
      </x:c>
      <x:c r="E5" s="8" t="str">
        <x:v>IC 95 % bas</x:v>
      </x:c>
      <x:c r="F5" s="8" t="str">
        <x:v>IC 95 % haut</x:v>
      </x:c>
      <x:c r="G5" s="8" t="str">
        <x:v>Lecture enregistrée</x:v>
      </x:c>
    </x:row>
    <x:row r="6" ht="24" customHeight="1">
      <x:c r="A6" s="5" t="str">
        <x:v>R-I</x:v>
      </x:c>
      <x:c r="B6" s="5" t="str">
        <x:v>P1 exploratoire</x:v>
      </x:c>
      <x:c r="C6" s="5" t="n">
        <x:f>AVERAGE(B16:B21)</x:f>
        <x:v>0.04525730854361831</x:v>
      </x:c>
      <x:c r="D6" s="5" t="n">
        <x:f>MEDIAN(B16:B21)</x:f>
        <x:v>0.05398085332950588</x:v>
      </x:c>
      <x:c r="E6" s="5" t="n">
        <x:v>0.0031761283673197847</x:v>
      </x:c>
      <x:c r="F6" s="5" t="n">
        <x:v>0.08512601160309351</x:v>
      </x:c>
      <x:c r="G6" s="5" t="str">
        <x:v>signal négatif</x:v>
      </x:c>
    </x:row>
    <x:row r="7" ht="24" customHeight="1">
      <x:c r="A7" s="9" t="str">
        <x:v>R-C</x:v>
      </x:c>
      <x:c r="B7" s="9" t="str">
        <x:v>P1 exploratoire</x:v>
      </x:c>
      <x:c r="C7" s="9" t="n">
        <x:f>AVERAGE(C16:C21)</x:f>
        <x:v>0.07492883231757852</x:v>
      </x:c>
      <x:c r="D7" s="9" t="n">
        <x:f>MEDIAN(C16:C21)</x:f>
        <x:v>0.07565722276744975</x:v>
      </x:c>
      <x:c r="E7" s="9" t="n">
        <x:v>0.03407515755708201</x:v>
      </x:c>
      <x:c r="F7" s="9" t="n">
        <x:v>0.11672973206785552</x:v>
      </x:c>
      <x:c r="G7" s="9" t="str">
        <x:v>signal négatif</x:v>
      </x:c>
    </x:row>
    <x:row r="8" ht="24" customHeight="1">
      <x:c r="A8" s="5" t="str">
        <x:v>W-R</x:v>
      </x:c>
      <x:c r="B8" s="5" t="str">
        <x:v>P1 exploratoire</x:v>
      </x:c>
      <x:c r="C8" s="5" t="n">
        <x:f>AVERAGE(D16:D21)</x:f>
        <x:v>-0.00993496471287219</x:v>
      </x:c>
      <x:c r="D8" s="5" t="n">
        <x:f>MEDIAN(D16:D21)</x:f>
        <x:v>0.0012867200592134379</x:v>
      </x:c>
      <x:c r="E8" s="5" t="n">
        <x:v>-0.054857201949494276</x:v>
      </x:c>
      <x:c r="F8" s="5" t="n">
        <x:v>0.030305425746811176</x:v>
      </x:c>
      <x:c r="G8" s="5" t="str">
        <x:v>inconclusif</x:v>
      </x:c>
    </x:row>
    <x:row r="9" ht="24" customHeight="1">
      <x:c r="A9" s="9" t="str">
        <x:v>R-A0</x:v>
      </x:c>
      <x:c r="B9" s="9" t="str">
        <x:v>P1 exploratoire</x:v>
      </x:c>
      <x:c r="C9" s="9" t="n">
        <x:f>AVERAGE(E16:E21)</x:f>
        <x:v>-0.056812520998366645</x:v>
      </x:c>
      <x:c r="D9" s="9" t="n">
        <x:f>MEDIAN(E16:E21)</x:f>
        <x:v>-0.051707445681439555</x:v>
      </x:c>
      <x:c r="E9" s="9" t="n">
        <x:v>-0.09092634353043091</x:v>
      </x:c>
      <x:c r="F9" s="9" t="n">
        <x:v>-0.023830393857743864</x:v>
      </x:c>
      <x:c r="G9" s="9" t="str">
        <x:v>signal positif</x:v>
      </x:c>
    </x:row>
    <x:row r="10" ht="24" customHeight="1">
      <x:c r="A10" s="5" t="str">
        <x:v>B2-A0</x:v>
      </x:c>
      <x:c r="B10" s="5" t="str">
        <x:v>B2 supplémentaire</x:v>
      </x:c>
      <x:c r="C10" s="5" t="n">
        <x:f>AVERAGE(F16:F21)</x:f>
        <x:v>-0.14769648926244497</x:v>
      </x:c>
      <x:c r="D10" s="5" t="n">
        <x:f>MEDIAN(F16:F21)</x:f>
        <x:v>-0.14941775159237167</x:v>
      </x:c>
      <x:c r="E10" s="5" t="n">
        <x:v>-0.1704014588644612</x:v>
      </x:c>
      <x:c r="F10" s="5" t="n">
        <x:v>-0.12573087021976262</x:v>
      </x:c>
      <x:c r="G10" s="5" t="str">
        <x:v>signal positif</x:v>
      </x:c>
    </x:row>
    <x:row r="11" ht="24" customHeight="1">
      <x:c r="A11" s="9" t="str">
        <x:v>R-B2</x:v>
      </x:c>
      <x:c r="B11" s="9" t="str">
        <x:v>B2 supplémentaire</x:v>
      </x:c>
      <x:c r="C11" s="9" t="n">
        <x:f>AVERAGE(G16:G21)</x:f>
        <x:v>0.09088396826407831</x:v>
      </x:c>
      <x:c r="D11" s="9" t="n">
        <x:f>MEDIAN(G16:G21)</x:f>
        <x:v>0.08888695934676802</x:v>
      </x:c>
      <x:c r="E11" s="9" t="n">
        <x:v>0.05632605492031428</x:v>
      </x:c>
      <x:c r="F11" s="9" t="n">
        <x:v>0.12651477004982162</x:v>
      </x:c>
      <x:c r="G11" s="9" t="str">
        <x:v>signal négatif</x:v>
      </x:c>
    </x:row>
    <x:row r="15" ht="48" customHeight="1">
      <x:c r="A15" s="8" t="str">
        <x:v>Seed externe</x:v>
      </x:c>
      <x:c r="B15" s="8" t="str">
        <x:v>R-I</x:v>
      </x:c>
      <x:c r="C15" s="8" t="str">
        <x:v>R-C</x:v>
      </x:c>
      <x:c r="D15" s="8" t="str">
        <x:v>W-R</x:v>
      </x:c>
      <x:c r="E15" s="8" t="str">
        <x:v>R-A0</x:v>
      </x:c>
      <x:c r="F15" s="8" t="str">
        <x:v>B2-A0</x:v>
      </x:c>
      <x:c r="G15" s="8" t="str">
        <x:v>R-B2</x:v>
      </x:c>
    </x:row>
    <x:row r="16" ht="24" customHeight="1">
      <x:c r="A16" s="10" t="n">
        <x:v>16411</x:v>
      </x:c>
      <x:c r="B16" s="5" t="n">
        <x:f>'Données'!C9-'Données'!C7</x:f>
        <x:v>-0.0315615696687288</x:v>
      </x:c>
      <x:c r="C16" s="5" t="n">
        <x:f>'Données'!C9-'Données'!C8</x:f>
        <x:v>0.008222951427584863</x:v>
      </x:c>
      <x:c r="D16" s="5" t="n">
        <x:f>'Données'!C10-'Données'!C9</x:f>
        <x:v>0.05782668314246494</x:v>
      </x:c>
      <x:c r="E16" s="5" t="n">
        <x:f>'Données'!C9-'Données'!C6</x:f>
        <x:v>-0.09011198113565683</x:v>
      </x:c>
      <x:c r="F16" s="5" t="n">
        <x:f>'Données'!C11-'Données'!C6</x:f>
        <x:v>-0.11474476939093523</x:v>
      </x:c>
      <x:c r="G16" s="5" t="n">
        <x:f>'Données'!C9-'Données'!C11</x:f>
        <x:v>0.024632788255278384</x:v>
      </x:c>
    </x:row>
    <x:row r="17" ht="24" customHeight="1">
      <x:c r="A17" s="11" t="n">
        <x:v>16423</x:v>
      </x:c>
      <x:c r="B17" s="9" t="n">
        <x:f>'Données'!C15-'Données'!C13</x:f>
        <x:v>-0.006253467208347727</x:v>
      </x:c>
      <x:c r="C17" s="9" t="n">
        <x:f>'Données'!C15-'Données'!C14</x:f>
        <x:v>0.019824964179525922</x:v>
      </x:c>
      <x:c r="D17" s="9" t="n">
        <x:f>'Données'!C16-'Données'!C15</x:f>
        <x:v>0.03180287403875515</x:v>
      </x:c>
      <x:c r="E17" s="9" t="n">
        <x:f>'Données'!C15-'Données'!C12</x:f>
        <x:v>-0.05044610000735815</x:v>
      </x:c>
      <x:c r="F17" s="9" t="n">
        <x:f>'Données'!C17-'Données'!C12</x:f>
        <x:v>-0.113030089675981</x:v>
      </x:c>
      <x:c r="G17" s="9" t="n">
        <x:f>'Données'!C15-'Données'!C17</x:f>
        <x:v>0.06258398966862284</x:v>
      </x:c>
    </x:row>
    <x:row r="18" ht="24" customHeight="1">
      <x:c r="A18" s="10" t="n">
        <x:v>16437</x:v>
      </x:c>
      <x:c r="B18" s="5" t="n">
        <x:f>'Données'!C21-'Données'!C19</x:f>
        <x:v>0.0762788475985951</x:v>
      </x:c>
      <x:c r="C18" s="5" t="n">
        <x:f>'Données'!C21-'Données'!C20</x:f>
        <x:v>0.04305774497487551</x:v>
      </x:c>
      <x:c r="D18" s="5" t="n">
        <x:f>'Données'!C22-'Données'!C21</x:f>
        <x:v>-0.009614200169047807</x:v>
      </x:c>
      <x:c r="E18" s="5" t="n">
        <x:f>'Données'!C21-'Données'!C18</x:f>
        <x:v>-0.1288258632739533</x:v>
      </x:c>
      <x:c r="F18" s="5" t="n">
        <x:f>'Données'!C23-'Données'!C18</x:f>
        <x:v>-0.1918134458660692</x:v>
      </x:c>
      <x:c r="G18" s="5" t="n">
        <x:f>'Données'!C21-'Données'!C23</x:f>
        <x:v>0.06298758259211588</x:v>
      </x:c>
    </x:row>
    <x:row r="19" ht="24" customHeight="1">
      <x:c r="A19" s="11" t="n">
        <x:v>16441</x:v>
      </x:c>
      <x:c r="B19" s="9" t="n">
        <x:f>'Données'!C27-'Données'!C25</x:f>
        <x:v>0.04371609881985773</x:v>
      </x:c>
      <x:c r="C19" s="9" t="n">
        <x:f>'Données'!C27-'Données'!C26</x:f>
        <x:v>0.13007847006277518</x:v>
      </x:c>
      <x:c r="D19" s="9" t="n">
        <x:f>'Données'!C28-'Données'!C27</x:f>
        <x:v>0.012187640287474683</x:v>
      </x:c>
      <x:c r="E19" s="9" t="n">
        <x:f>'Données'!C27-'Données'!C24</x:f>
        <x:v>-0.05296879135552096</x:v>
      </x:c>
      <x:c r="F19" s="9" t="n">
        <x:f>'Données'!C29-'Données'!C24</x:f>
        <x:v>-0.16775512745694113</x:v>
      </x:c>
      <x:c r="G19" s="9" t="n">
        <x:f>'Données'!C27-'Données'!C29</x:f>
        <x:v>0.11478633610142017</x:v>
      </x:c>
    </x:row>
    <x:row r="20" ht="24" customHeight="1">
      <x:c r="A20" s="10" t="n">
        <x:v>16453</x:v>
      </x:c>
      <x:c r="B20" s="5" t="n">
        <x:f>'Données'!C33-'Données'!C31</x:f>
        <x:v>0.12511833388117954</x:v>
      </x:c>
      <x:c r="C20" s="5" t="n">
        <x:f>'Données'!C33-'Données'!C32</x:f>
        <x:v>0.108256700560024</x:v>
      </x:c>
      <x:c r="D20" s="5" t="n">
        <x:f>'Données'!C34-'Données'!C33</x:f>
        <x:v>-0.11061570354104024</x:v>
      </x:c>
      <x:c r="E20" s="5" t="n">
        <x:f>'Données'!C33-'Données'!C30</x:f>
        <x:v>0</x:v>
      </x:c>
      <x:c r="F20" s="5" t="n">
        <x:f>'Données'!C35-'Données'!C30</x:f>
        <x:v>-0.150702590780927</x:v>
      </x:c>
      <x:c r="G20" s="5" t="n">
        <x:f>'Données'!C33-'Données'!C35</x:f>
        <x:v>0.150702590780927</x:v>
      </x:c>
    </x:row>
    <x:row r="21" ht="24" customHeight="1">
      <x:c r="A21" s="11" t="n">
        <x:v>16467</x:v>
      </x:c>
      <x:c r="B21" s="9" t="n">
        <x:f>'Données'!C39-'Données'!C37</x:f>
        <x:v>0.06424560783915403</x:v>
      </x:c>
      <x:c r="C21" s="9" t="n">
        <x:f>'Données'!C39-'Données'!C38</x:f>
        <x:v>0.1401321627006856</x:v>
      </x:c>
      <x:c r="D21" s="9" t="n">
        <x:f>'Données'!C40-'Données'!C39</x:f>
        <x:v>-0.04119708203583987</x:v>
      </x:c>
      <x:c r="E21" s="9" t="n">
        <x:f>'Données'!C39-'Données'!C36</x:f>
        <x:v>-0.018522390217710627</x:v>
      </x:c>
      <x:c r="F21" s="9" t="n">
        <x:f>'Données'!C41-'Données'!C36</x:f>
        <x:v>-0.14813291240381635</x:v>
      </x:c>
      <x:c r="G21" s="9" t="n">
        <x:f>'Données'!C39-'Données'!C41</x:f>
        <x:v>0.12961052218610572</x:v>
      </x:c>
    </x:row>
    <x:row r="24">
      <x:c r="A24" s="14" t="str">
        <x:v>R−I reste central. R−C et W−R ont un ordre de précédence 5/1 ; une dérive temporelle reste possible.</x:v>
      </x:c>
    </x:row>
  </x:sheetData>
  <x:conditionalFormatting sqref="B16:G21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5441d1978dea4782"/>
    <x:tablePart xmlns:r="http://schemas.openxmlformats.org/officeDocument/2006/relationships" r:id="R4ecbe66c700349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5" hidden="0" customWidth="1"/>
    <x:col min="4" max="4" width="28" hidden="0" customWidth="1"/>
    <x:col min="5" max="5" width="25" hidden="0" customWidth="1"/>
    <x:col min="6" max="6" width="27" hidden="0" customWidth="1"/>
    <x:col min="7" max="7" width="30" hidden="0" customWidth="1"/>
    <x:col min="8" max="8" width="27" hidden="0" customWidth="1"/>
    <x:col min="9" max="9" width="30" hidden="0" customWidth="1"/>
  </x:cols>
  <x:sheetData>
    <x:row r="1" ht="30" customHeight="1">
      <x:c r="A1" s="1" t="str">
        <x:v>P1 : allocations et éligibilité des 24 pools</x:v>
      </x:c>
    </x:row>
    <x:row r="2" ht="21" customHeight="1">
      <x:c r="A2" s="2" t="str">
        <x:v>Chaque pool contient le seed et huit slots de génération alloués ; aucun slot invalide n’est remplacé.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Allocations de trajectoires incluant le seed. Les occasions inutilisées ne sont pas recyclées.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8" customHeight="1">
      <x:c r="A5" s="8" t="str">
        <x:v>Seed externe</x:v>
      </x:c>
      <x:c r="B5" s="8" t="str">
        <x:v>Bras</x:v>
      </x:c>
      <x:c r="C5" s="8" t="str">
        <x:v>Réponses allouées</x:v>
      </x:c>
      <x:c r="D5" s="8" t="str">
        <x:v>Générés éligibles</x:v>
      </x:c>
      <x:c r="E5" s="8" t="str">
        <x:v>Générés non éligibles</x:v>
      </x:c>
      <x:c r="F5" s="8" t="str">
        <x:v>Fraction éligible</x:v>
      </x:c>
      <x:c r="G5" s="8" t="str">
        <x:v>Seed sélectionné 0/1</x:v>
      </x:c>
      <x:c r="H5" s="8" t="str">
        <x:v>Traj. train allouées</x:v>
      </x:c>
      <x:c r="I5" s="8" t="str">
        <x:v>Traj. validation allouées</x:v>
      </x:c>
    </x:row>
    <x:row r="6" ht="24" customHeight="1">
      <x:c r="A6" s="21" t="n">
        <x:v>16411</x:v>
      </x:c>
      <x:c r="B6" s="22" t="str">
        <x:v>I</x:v>
      </x:c>
      <x:c r="C6" s="10" t="n">
        <x:v>8</x:v>
      </x:c>
      <x:c r="D6" s="10" t="n">
        <x:v>8</x:v>
      </x:c>
      <x:c r="E6" s="10" t="n">
        <x:v>0</x:v>
      </x:c>
      <x:c r="F6" s="12" t="n">
        <x:f>D6/C6</x:f>
        <x:v>1</x:v>
      </x:c>
      <x:c r="G6" s="10" t="n">
        <x:v>0</x:v>
      </x:c>
      <x:c r="H6" s="15" t="n">
        <x:v>432</x:v>
      </x:c>
      <x:c r="I6" s="15" t="n">
        <x:v>216</x:v>
      </x:c>
    </x:row>
    <x:row r="7" ht="24" customHeight="1">
      <x:c r="A7" s="23" t="n">
        <x:v>16411</x:v>
      </x:c>
      <x:c r="B7" s="24" t="str">
        <x:v>C</x:v>
      </x:c>
      <x:c r="C7" s="11" t="n">
        <x:v>8</x:v>
      </x:c>
      <x:c r="D7" s="11" t="n">
        <x:v>8</x:v>
      </x:c>
      <x:c r="E7" s="11" t="n">
        <x:v>0</x:v>
      </x:c>
      <x:c r="F7" s="13" t="n">
        <x:f>D7/C7</x:f>
        <x:v>1</x:v>
      </x:c>
      <x:c r="G7" s="11" t="n">
        <x:v>0</x:v>
      </x:c>
      <x:c r="H7" s="16" t="n">
        <x:v>432</x:v>
      </x:c>
      <x:c r="I7" s="16" t="n">
        <x:v>216</x:v>
      </x:c>
    </x:row>
    <x:row r="8" ht="24" customHeight="1">
      <x:c r="A8" s="21" t="n">
        <x:v>16411</x:v>
      </x:c>
      <x:c r="B8" s="22" t="str">
        <x:v>R</x:v>
      </x:c>
      <x:c r="C8" s="10" t="n">
        <x:v>8</x:v>
      </x:c>
      <x:c r="D8" s="10" t="n">
        <x:v>6</x:v>
      </x:c>
      <x:c r="E8" s="10" t="n">
        <x:v>2</x:v>
      </x:c>
      <x:c r="F8" s="12" t="n">
        <x:f>D8/C8</x:f>
        <x:v>0.75</x:v>
      </x:c>
      <x:c r="G8" s="10" t="n">
        <x:v>0</x:v>
      </x:c>
      <x:c r="H8" s="15" t="n">
        <x:v>432</x:v>
      </x:c>
      <x:c r="I8" s="15" t="n">
        <x:v>216</x:v>
      </x:c>
    </x:row>
    <x:row r="9" ht="24" customHeight="1">
      <x:c r="A9" s="23" t="n">
        <x:v>16411</x:v>
      </x:c>
      <x:c r="B9" s="24" t="str">
        <x:v>W</x:v>
      </x:c>
      <x:c r="C9" s="11" t="n">
        <x:v>8</x:v>
      </x:c>
      <x:c r="D9" s="11" t="n">
        <x:v>8</x:v>
      </x:c>
      <x:c r="E9" s="11" t="n">
        <x:v>0</x:v>
      </x:c>
      <x:c r="F9" s="13" t="n">
        <x:f>D9/C9</x:f>
        <x:v>1</x:v>
      </x:c>
      <x:c r="G9" s="11" t="n">
        <x:v>0</x:v>
      </x:c>
      <x:c r="H9" s="16" t="n">
        <x:v>432</x:v>
      </x:c>
      <x:c r="I9" s="16" t="n">
        <x:v>216</x:v>
      </x:c>
    </x:row>
    <x:row r="10" ht="24" customHeight="1">
      <x:c r="A10" s="21" t="n">
        <x:v>16423</x:v>
      </x:c>
      <x:c r="B10" s="22" t="str">
        <x:v>I</x:v>
      </x:c>
      <x:c r="C10" s="10" t="n">
        <x:v>8</x:v>
      </x:c>
      <x:c r="D10" s="10" t="n">
        <x:v>8</x:v>
      </x:c>
      <x:c r="E10" s="10" t="n">
        <x:v>0</x:v>
      </x:c>
      <x:c r="F10" s="12" t="n">
        <x:f>D10/C10</x:f>
        <x:v>1</x:v>
      </x:c>
      <x:c r="G10" s="10" t="n">
        <x:v>0</x:v>
      </x:c>
      <x:c r="H10" s="15" t="n">
        <x:v>432</x:v>
      </x:c>
      <x:c r="I10" s="15" t="n">
        <x:v>216</x:v>
      </x:c>
    </x:row>
    <x:row r="11" ht="24" customHeight="1">
      <x:c r="A11" s="23" t="n">
        <x:v>16423</x:v>
      </x:c>
      <x:c r="B11" s="24" t="str">
        <x:v>C</x:v>
      </x:c>
      <x:c r="C11" s="11" t="n">
        <x:v>8</x:v>
      </x:c>
      <x:c r="D11" s="11" t="n">
        <x:v>7</x:v>
      </x:c>
      <x:c r="E11" s="11" t="n">
        <x:v>1</x:v>
      </x:c>
      <x:c r="F11" s="13" t="n">
        <x:f>D11/C11</x:f>
        <x:v>0.875</x:v>
      </x:c>
      <x:c r="G11" s="11" t="n">
        <x:v>0</x:v>
      </x:c>
      <x:c r="H11" s="16" t="n">
        <x:v>432</x:v>
      </x:c>
      <x:c r="I11" s="16" t="n">
        <x:v>216</x:v>
      </x:c>
    </x:row>
    <x:row r="12" ht="24" customHeight="1">
      <x:c r="A12" s="21" t="n">
        <x:v>16423</x:v>
      </x:c>
      <x:c r="B12" s="22" t="str">
        <x:v>R</x:v>
      </x:c>
      <x:c r="C12" s="10" t="n">
        <x:v>8</x:v>
      </x:c>
      <x:c r="D12" s="10" t="n">
        <x:v>8</x:v>
      </x:c>
      <x:c r="E12" s="10" t="n">
        <x:v>0</x:v>
      </x:c>
      <x:c r="F12" s="12" t="n">
        <x:f>D12/C12</x:f>
        <x:v>1</x:v>
      </x:c>
      <x:c r="G12" s="10" t="n">
        <x:v>0</x:v>
      </x:c>
      <x:c r="H12" s="15" t="n">
        <x:v>432</x:v>
      </x:c>
      <x:c r="I12" s="15" t="n">
        <x:v>216</x:v>
      </x:c>
    </x:row>
    <x:row r="13" ht="24" customHeight="1">
      <x:c r="A13" s="23" t="n">
        <x:v>16423</x:v>
      </x:c>
      <x:c r="B13" s="24" t="str">
        <x:v>W</x:v>
      </x:c>
      <x:c r="C13" s="11" t="n">
        <x:v>8</x:v>
      </x:c>
      <x:c r="D13" s="11" t="n">
        <x:v>8</x:v>
      </x:c>
      <x:c r="E13" s="11" t="n">
        <x:v>0</x:v>
      </x:c>
      <x:c r="F13" s="13" t="n">
        <x:f>D13/C13</x:f>
        <x:v>1</x:v>
      </x:c>
      <x:c r="G13" s="11" t="n">
        <x:v>0</x:v>
      </x:c>
      <x:c r="H13" s="16" t="n">
        <x:v>432</x:v>
      </x:c>
      <x:c r="I13" s="16" t="n">
        <x:v>216</x:v>
      </x:c>
    </x:row>
    <x:row r="14" ht="24" customHeight="1">
      <x:c r="A14" s="21" t="n">
        <x:v>16437</x:v>
      </x:c>
      <x:c r="B14" s="22" t="str">
        <x:v>I</x:v>
      </x:c>
      <x:c r="C14" s="10" t="n">
        <x:v>8</x:v>
      </x:c>
      <x:c r="D14" s="10" t="n">
        <x:v>8</x:v>
      </x:c>
      <x:c r="E14" s="10" t="n">
        <x:v>0</x:v>
      </x:c>
      <x:c r="F14" s="12" t="n">
        <x:f>D14/C14</x:f>
        <x:v>1</x:v>
      </x:c>
      <x:c r="G14" s="10" t="n">
        <x:v>0</x:v>
      </x:c>
      <x:c r="H14" s="15" t="n">
        <x:v>432</x:v>
      </x:c>
      <x:c r="I14" s="15" t="n">
        <x:v>216</x:v>
      </x:c>
    </x:row>
    <x:row r="15" ht="24" customHeight="1">
      <x:c r="A15" s="23" t="n">
        <x:v>16437</x:v>
      </x:c>
      <x:c r="B15" s="24" t="str">
        <x:v>C</x:v>
      </x:c>
      <x:c r="C15" s="11" t="n">
        <x:v>8</x:v>
      </x:c>
      <x:c r="D15" s="11" t="n">
        <x:v>7</x:v>
      </x:c>
      <x:c r="E15" s="11" t="n">
        <x:v>1</x:v>
      </x:c>
      <x:c r="F15" s="13" t="n">
        <x:f>D15/C15</x:f>
        <x:v>0.875</x:v>
      </x:c>
      <x:c r="G15" s="11" t="n">
        <x:v>0</x:v>
      </x:c>
      <x:c r="H15" s="16" t="n">
        <x:v>432</x:v>
      </x:c>
      <x:c r="I15" s="16" t="n">
        <x:v>216</x:v>
      </x:c>
    </x:row>
    <x:row r="16" ht="24" customHeight="1">
      <x:c r="A16" s="21" t="n">
        <x:v>16437</x:v>
      </x:c>
      <x:c r="B16" s="22" t="str">
        <x:v>R</x:v>
      </x:c>
      <x:c r="C16" s="10" t="n">
        <x:v>8</x:v>
      </x:c>
      <x:c r="D16" s="10" t="n">
        <x:v>7</x:v>
      </x:c>
      <x:c r="E16" s="10" t="n">
        <x:v>1</x:v>
      </x:c>
      <x:c r="F16" s="12" t="n">
        <x:f>D16/C16</x:f>
        <x:v>0.875</x:v>
      </x:c>
      <x:c r="G16" s="10" t="n">
        <x:v>0</x:v>
      </x:c>
      <x:c r="H16" s="15" t="n">
        <x:v>432</x:v>
      </x:c>
      <x:c r="I16" s="15" t="n">
        <x:v>216</x:v>
      </x:c>
    </x:row>
    <x:row r="17" ht="24" customHeight="1">
      <x:c r="A17" s="23" t="n">
        <x:v>16437</x:v>
      </x:c>
      <x:c r="B17" s="24" t="str">
        <x:v>W</x:v>
      </x:c>
      <x:c r="C17" s="11" t="n">
        <x:v>8</x:v>
      </x:c>
      <x:c r="D17" s="11" t="n">
        <x:v>6</x:v>
      </x:c>
      <x:c r="E17" s="11" t="n">
        <x:v>2</x:v>
      </x:c>
      <x:c r="F17" s="13" t="n">
        <x:f>D17/C17</x:f>
        <x:v>0.75</x:v>
      </x:c>
      <x:c r="G17" s="11" t="n">
        <x:v>0</x:v>
      </x:c>
      <x:c r="H17" s="16" t="n">
        <x:v>432</x:v>
      </x:c>
      <x:c r="I17" s="16" t="n">
        <x:v>216</x:v>
      </x:c>
    </x:row>
    <x:row r="18" ht="24" customHeight="1">
      <x:c r="A18" s="21" t="n">
        <x:v>16441</x:v>
      </x:c>
      <x:c r="B18" s="22" t="str">
        <x:v>I</x:v>
      </x:c>
      <x:c r="C18" s="10" t="n">
        <x:v>8</x:v>
      </x:c>
      <x:c r="D18" s="10" t="n">
        <x:v>8</x:v>
      </x:c>
      <x:c r="E18" s="10" t="n">
        <x:v>0</x:v>
      </x:c>
      <x:c r="F18" s="12" t="n">
        <x:f>D18/C18</x:f>
        <x:v>1</x:v>
      </x:c>
      <x:c r="G18" s="10" t="n">
        <x:v>0</x:v>
      </x:c>
      <x:c r="H18" s="15" t="n">
        <x:v>432</x:v>
      </x:c>
      <x:c r="I18" s="15" t="n">
        <x:v>216</x:v>
      </x:c>
    </x:row>
    <x:row r="19" ht="24" customHeight="1">
      <x:c r="A19" s="23" t="n">
        <x:v>16441</x:v>
      </x:c>
      <x:c r="B19" s="24" t="str">
        <x:v>C</x:v>
      </x:c>
      <x:c r="C19" s="11" t="n">
        <x:v>8</x:v>
      </x:c>
      <x:c r="D19" s="11" t="n">
        <x:v>8</x:v>
      </x:c>
      <x:c r="E19" s="11" t="n">
        <x:v>0</x:v>
      </x:c>
      <x:c r="F19" s="13" t="n">
        <x:f>D19/C19</x:f>
        <x:v>1</x:v>
      </x:c>
      <x:c r="G19" s="11" t="n">
        <x:v>0</x:v>
      </x:c>
      <x:c r="H19" s="16" t="n">
        <x:v>432</x:v>
      </x:c>
      <x:c r="I19" s="16" t="n">
        <x:v>216</x:v>
      </x:c>
    </x:row>
    <x:row r="20" ht="24" customHeight="1">
      <x:c r="A20" s="21" t="n">
        <x:v>16441</x:v>
      </x:c>
      <x:c r="B20" s="22" t="str">
        <x:v>R</x:v>
      </x:c>
      <x:c r="C20" s="10" t="n">
        <x:v>8</x:v>
      </x:c>
      <x:c r="D20" s="10" t="n">
        <x:v>8</x:v>
      </x:c>
      <x:c r="E20" s="10" t="n">
        <x:v>0</x:v>
      </x:c>
      <x:c r="F20" s="12" t="n">
        <x:f>D20/C20</x:f>
        <x:v>1</x:v>
      </x:c>
      <x:c r="G20" s="10" t="n">
        <x:v>0</x:v>
      </x:c>
      <x:c r="H20" s="15" t="n">
        <x:v>432</x:v>
      </x:c>
      <x:c r="I20" s="15" t="n">
        <x:v>216</x:v>
      </x:c>
    </x:row>
    <x:row r="21" ht="24" customHeight="1">
      <x:c r="A21" s="23" t="n">
        <x:v>16441</x:v>
      </x:c>
      <x:c r="B21" s="24" t="str">
        <x:v>W</x:v>
      </x:c>
      <x:c r="C21" s="11" t="n">
        <x:v>8</x:v>
      </x:c>
      <x:c r="D21" s="11" t="n">
        <x:v>7</x:v>
      </x:c>
      <x:c r="E21" s="11" t="n">
        <x:v>1</x:v>
      </x:c>
      <x:c r="F21" s="13" t="n">
        <x:f>D21/C21</x:f>
        <x:v>0.875</x:v>
      </x:c>
      <x:c r="G21" s="11" t="n">
        <x:v>0</x:v>
      </x:c>
      <x:c r="H21" s="16" t="n">
        <x:v>432</x:v>
      </x:c>
      <x:c r="I21" s="16" t="n">
        <x:v>216</x:v>
      </x:c>
    </x:row>
    <x:row r="22" ht="24" customHeight="1">
      <x:c r="A22" s="21" t="n">
        <x:v>16453</x:v>
      </x:c>
      <x:c r="B22" s="22" t="str">
        <x:v>I</x:v>
      </x:c>
      <x:c r="C22" s="10" t="n">
        <x:v>8</x:v>
      </x:c>
      <x:c r="D22" s="10" t="n">
        <x:v>7</x:v>
      </x:c>
      <x:c r="E22" s="10" t="n">
        <x:v>1</x:v>
      </x:c>
      <x:c r="F22" s="12" t="n">
        <x:f>D22/C22</x:f>
        <x:v>0.875</x:v>
      </x:c>
      <x:c r="G22" s="10" t="n">
        <x:v>0</x:v>
      </x:c>
      <x:c r="H22" s="15" t="n">
        <x:v>432</x:v>
      </x:c>
      <x:c r="I22" s="15" t="n">
        <x:v>216</x:v>
      </x:c>
    </x:row>
    <x:row r="23" ht="24" customHeight="1">
      <x:c r="A23" s="23" t="n">
        <x:v>16453</x:v>
      </x:c>
      <x:c r="B23" s="24" t="str">
        <x:v>C</x:v>
      </x:c>
      <x:c r="C23" s="11" t="n">
        <x:v>8</x:v>
      </x:c>
      <x:c r="D23" s="11" t="n">
        <x:v>6</x:v>
      </x:c>
      <x:c r="E23" s="11" t="n">
        <x:v>2</x:v>
      </x:c>
      <x:c r="F23" s="13" t="n">
        <x:f>D23/C23</x:f>
        <x:v>0.75</x:v>
      </x:c>
      <x:c r="G23" s="11" t="n">
        <x:v>0</x:v>
      </x:c>
      <x:c r="H23" s="16" t="n">
        <x:v>432</x:v>
      </x:c>
      <x:c r="I23" s="16" t="n">
        <x:v>216</x:v>
      </x:c>
    </x:row>
    <x:row r="24" ht="24" customHeight="1">
      <x:c r="A24" s="21" t="n">
        <x:v>16453</x:v>
      </x:c>
      <x:c r="B24" s="22" t="str">
        <x:v>R</x:v>
      </x:c>
      <x:c r="C24" s="10" t="n">
        <x:v>8</x:v>
      </x:c>
      <x:c r="D24" s="10" t="n">
        <x:v>6</x:v>
      </x:c>
      <x:c r="E24" s="10" t="n">
        <x:v>2</x:v>
      </x:c>
      <x:c r="F24" s="12" t="n">
        <x:f>D24/C24</x:f>
        <x:v>0.75</x:v>
      </x:c>
      <x:c r="G24" s="10" t="n">
        <x:v>1</x:v>
      </x:c>
      <x:c r="H24" s="15" t="n">
        <x:v>432</x:v>
      </x:c>
      <x:c r="I24" s="15" t="n">
        <x:v>216</x:v>
      </x:c>
    </x:row>
    <x:row r="25" ht="24" customHeight="1">
      <x:c r="A25" s="23" t="n">
        <x:v>16453</x:v>
      </x:c>
      <x:c r="B25" s="24" t="str">
        <x:v>W</x:v>
      </x:c>
      <x:c r="C25" s="11" t="n">
        <x:v>8</x:v>
      </x:c>
      <x:c r="D25" s="11" t="n">
        <x:v>7</x:v>
      </x:c>
      <x:c r="E25" s="11" t="n">
        <x:v>1</x:v>
      </x:c>
      <x:c r="F25" s="13" t="n">
        <x:f>D25/C25</x:f>
        <x:v>0.875</x:v>
      </x:c>
      <x:c r="G25" s="11" t="n">
        <x:v>0</x:v>
      </x:c>
      <x:c r="H25" s="16" t="n">
        <x:v>432</x:v>
      </x:c>
      <x:c r="I25" s="16" t="n">
        <x:v>216</x:v>
      </x:c>
    </x:row>
    <x:row r="26" ht="24" customHeight="1">
      <x:c r="A26" s="21" t="n">
        <x:v>16467</x:v>
      </x:c>
      <x:c r="B26" s="22" t="str">
        <x:v>I</x:v>
      </x:c>
      <x:c r="C26" s="10" t="n">
        <x:v>8</x:v>
      </x:c>
      <x:c r="D26" s="10" t="n">
        <x:v>7</x:v>
      </x:c>
      <x:c r="E26" s="10" t="n">
        <x:v>1</x:v>
      </x:c>
      <x:c r="F26" s="12" t="n">
        <x:f>D26/C26</x:f>
        <x:v>0.875</x:v>
      </x:c>
      <x:c r="G26" s="10" t="n">
        <x:v>0</x:v>
      </x:c>
      <x:c r="H26" s="15" t="n">
        <x:v>432</x:v>
      </x:c>
      <x:c r="I26" s="15" t="n">
        <x:v>216</x:v>
      </x:c>
    </x:row>
    <x:row r="27" ht="24" customHeight="1">
      <x:c r="A27" s="23" t="n">
        <x:v>16467</x:v>
      </x:c>
      <x:c r="B27" s="24" t="str">
        <x:v>C</x:v>
      </x:c>
      <x:c r="C27" s="11" t="n">
        <x:v>8</x:v>
      </x:c>
      <x:c r="D27" s="11" t="n">
        <x:v>8</x:v>
      </x:c>
      <x:c r="E27" s="11" t="n">
        <x:v>0</x:v>
      </x:c>
      <x:c r="F27" s="13" t="n">
        <x:f>D27/C27</x:f>
        <x:v>1</x:v>
      </x:c>
      <x:c r="G27" s="11" t="n">
        <x:v>0</x:v>
      </x:c>
      <x:c r="H27" s="16" t="n">
        <x:v>432</x:v>
      </x:c>
      <x:c r="I27" s="16" t="n">
        <x:v>216</x:v>
      </x:c>
    </x:row>
    <x:row r="28" ht="24" customHeight="1">
      <x:c r="A28" s="21" t="n">
        <x:v>16467</x:v>
      </x:c>
      <x:c r="B28" s="22" t="str">
        <x:v>R</x:v>
      </x:c>
      <x:c r="C28" s="10" t="n">
        <x:v>8</x:v>
      </x:c>
      <x:c r="D28" s="10" t="n">
        <x:v>6</x:v>
      </x:c>
      <x:c r="E28" s="10" t="n">
        <x:v>2</x:v>
      </x:c>
      <x:c r="F28" s="12" t="n">
        <x:f>D28/C28</x:f>
        <x:v>0.75</x:v>
      </x:c>
      <x:c r="G28" s="10" t="n">
        <x:v>0</x:v>
      </x:c>
      <x:c r="H28" s="15" t="n">
        <x:v>432</x:v>
      </x:c>
      <x:c r="I28" s="15" t="n">
        <x:v>216</x:v>
      </x:c>
    </x:row>
    <x:row r="29" ht="24" customHeight="1">
      <x:c r="A29" s="23" t="n">
        <x:v>16467</x:v>
      </x:c>
      <x:c r="B29" s="24" t="str">
        <x:v>W</x:v>
      </x:c>
      <x:c r="C29" s="11" t="n">
        <x:v>8</x:v>
      </x:c>
      <x:c r="D29" s="11" t="n">
        <x:v>7</x:v>
      </x:c>
      <x:c r="E29" s="11" t="n">
        <x:v>1</x:v>
      </x:c>
      <x:c r="F29" s="13" t="n">
        <x:f>D29/C29</x:f>
        <x:v>0.875</x:v>
      </x:c>
      <x:c r="G29" s="11" t="n">
        <x:v>0</x:v>
      </x:c>
      <x:c r="H29" s="16" t="n">
        <x:v>432</x:v>
      </x:c>
      <x:c r="I29" s="16" t="n">
        <x:v>216</x:v>
      </x:c>
    </x:row>
    <x:row r="33" ht="48" customHeight="1">
      <x:c r="A33" s="8" t="str">
        <x:v>Bras</x:v>
      </x:c>
      <x:c r="B33" s="8" t="str">
        <x:v>Réponses allouées</x:v>
      </x:c>
      <x:c r="C33" s="8" t="str">
        <x:v>Générés éligibles</x:v>
      </x:c>
      <x:c r="D33" s="8" t="str">
        <x:v>Générés non éligibles</x:v>
      </x:c>
      <x:c r="E33" s="8" t="str">
        <x:v>Seed sélectionné</x:v>
      </x:c>
      <x:c r="F33" s="8" t="str">
        <x:v>Traj. train allouées</x:v>
      </x:c>
      <x:c r="G33" s="8" t="str">
        <x:v>Traj. validation allouées</x:v>
      </x:c>
    </x:row>
    <x:row r="34" ht="24" customHeight="1">
      <x:c r="A34" s="5" t="str">
        <x:v>I</x:v>
      </x:c>
      <x:c r="B34" s="10" t="n">
        <x:f>SUMIF(B6:B29,A34,C6:C29)</x:f>
        <x:v>48</x:v>
      </x:c>
      <x:c r="C34" s="10" t="n">
        <x:f>SUMIF(B6:B29,A34,D6:D29)</x:f>
        <x:v>46</x:v>
      </x:c>
      <x:c r="D34" s="10" t="n">
        <x:f>SUMIF(B6:B29,A34,E6:E29)</x:f>
        <x:v>2</x:v>
      </x:c>
      <x:c r="E34" s="10" t="n">
        <x:f>SUMIF(B6:B29,A34,G6:G29)</x:f>
        <x:v>0</x:v>
      </x:c>
      <x:c r="F34" s="15" t="n">
        <x:f>SUMIF(B6:B29,A34,H6:H29)</x:f>
        <x:v>2592</x:v>
      </x:c>
      <x:c r="G34" s="15" t="n">
        <x:f>SUMIF(B6:B29,A34,I6:I29)</x:f>
        <x:v>1296</x:v>
      </x:c>
    </x:row>
    <x:row r="35" ht="24" customHeight="1">
      <x:c r="A35" s="9" t="str">
        <x:v>C</x:v>
      </x:c>
      <x:c r="B35" s="11" t="n">
        <x:f>SUMIF(B6:B29,A35,C6:C29)</x:f>
        <x:v>48</x:v>
      </x:c>
      <x:c r="C35" s="11" t="n">
        <x:f>SUMIF(B6:B29,A35,D6:D29)</x:f>
        <x:v>44</x:v>
      </x:c>
      <x:c r="D35" s="11" t="n">
        <x:f>SUMIF(B6:B29,A35,E6:E29)</x:f>
        <x:v>4</x:v>
      </x:c>
      <x:c r="E35" s="11" t="n">
        <x:f>SUMIF(B6:B29,A35,G6:G29)</x:f>
        <x:v>0</x:v>
      </x:c>
      <x:c r="F35" s="16" t="n">
        <x:f>SUMIF(B6:B29,A35,H6:H29)</x:f>
        <x:v>2592</x:v>
      </x:c>
      <x:c r="G35" s="16" t="n">
        <x:f>SUMIF(B6:B29,A35,I6:I29)</x:f>
        <x:v>1296</x:v>
      </x:c>
    </x:row>
    <x:row r="36" ht="24" customHeight="1">
      <x:c r="A36" s="5" t="str">
        <x:v>R</x:v>
      </x:c>
      <x:c r="B36" s="10" t="n">
        <x:f>SUMIF(B6:B29,A36,C6:C29)</x:f>
        <x:v>48</x:v>
      </x:c>
      <x:c r="C36" s="10" t="n">
        <x:f>SUMIF(B6:B29,A36,D6:D29)</x:f>
        <x:v>41</x:v>
      </x:c>
      <x:c r="D36" s="10" t="n">
        <x:f>SUMIF(B6:B29,A36,E6:E29)</x:f>
        <x:v>7</x:v>
      </x:c>
      <x:c r="E36" s="10" t="n">
        <x:f>SUMIF(B6:B29,A36,G6:G29)</x:f>
        <x:v>1</x:v>
      </x:c>
      <x:c r="F36" s="15" t="n">
        <x:f>SUMIF(B6:B29,A36,H6:H29)</x:f>
        <x:v>2592</x:v>
      </x:c>
      <x:c r="G36" s="15" t="n">
        <x:f>SUMIF(B6:B29,A36,I6:I29)</x:f>
        <x:v>1296</x:v>
      </x:c>
    </x:row>
    <x:row r="37" ht="24" customHeight="1">
      <x:c r="A37" s="9" t="str">
        <x:v>W</x:v>
      </x:c>
      <x:c r="B37" s="11" t="n">
        <x:f>SUMIF(B6:B29,A37,C6:C29)</x:f>
        <x:v>48</x:v>
      </x:c>
      <x:c r="C37" s="11" t="n">
        <x:f>SUMIF(B6:B29,A37,D6:D29)</x:f>
        <x:v>43</x:v>
      </x:c>
      <x:c r="D37" s="11" t="n">
        <x:f>SUMIF(B6:B29,A37,E6:E29)</x:f>
        <x:v>5</x:v>
      </x:c>
      <x:c r="E37" s="11" t="n">
        <x:f>SUMIF(B6:B29,A37,G6:G29)</x:f>
        <x:v>0</x:v>
      </x:c>
      <x:c r="F37" s="16" t="n">
        <x:f>SUMIF(B6:B29,A37,H6:H29)</x:f>
        <x:v>2592</x:v>
      </x:c>
      <x:c r="G37" s="16" t="n">
        <x:f>SUMIF(B6:B29,A37,I6:I29)</x:f>
        <x:v>1296</x:v>
      </x:c>
    </x:row>
  </x:sheetData>
  <x:pageMargins left="0.7" right="0.7" top="0.75" bottom="0.75" header="0.3" footer="0.3"/>
  <x:tableParts count="2">
    <x:tablePart xmlns:r="http://schemas.openxmlformats.org/officeDocument/2006/relationships" r:id="R5192ce4d5d7b40b7"/>
    <x:tablePart xmlns:r="http://schemas.openxmlformats.org/officeDocument/2006/relationships" r:id="Rb55836a86f684e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6" hidden="0" customWidth="1"/>
    <x:col min="4" max="4" width="27" hidden="0" customWidth="1"/>
    <x:col min="5" max="5" width="29" hidden="0" customWidth="1"/>
    <x:col min="6" max="6" width="26" hidden="0" customWidth="1"/>
    <x:col min="7" max="7" width="29" hidden="0" customWidth="1"/>
  </x:cols>
  <x:sheetData>
    <x:row r="1" ht="30" customHeight="1">
      <x:c r="A1" s="1" t="str">
        <x:v>P1 : tokens et coûts rapportés</x:v>
      </x:c>
    </x:row>
    <x:row r="2" ht="21" customHeight="1">
      <x:c r="A2" s="2" t="str">
        <x:v>192 réponses complétées. Les tokens de raisonnement sont décrits séparément, sans addition au total.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Coûts connus des réponses. Les tentatives transport incertaines restent dans l’audit primaire.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8" customHeight="1">
      <x:c r="A5" s="8" t="str">
        <x:v>Bras</x:v>
      </x:c>
      <x:c r="B5" s="8" t="str">
        <x:v>Réponses</x:v>
      </x:c>
      <x:c r="C5" s="8" t="str">
        <x:v>Tokens prompt</x:v>
      </x:c>
      <x:c r="D5" s="8" t="str">
        <x:v>Tokens complétion</x:v>
      </x:c>
      <x:c r="E5" s="8" t="str">
        <x:v>Tokens raisonnement</x:v>
      </x:c>
      <x:c r="F5" s="8" t="str">
        <x:v>Tokens totaux</x:v>
      </x:c>
      <x:c r="G5" s="8" t="str">
        <x:v>Coût rapporté USD</x:v>
      </x:c>
    </x:row>
    <x:row r="6" ht="24" customHeight="1">
      <x:c r="A6" s="5" t="str">
        <x:v>I</x:v>
      </x:c>
      <x:c r="B6" s="10" t="n">
        <x:v>48</x:v>
      </x:c>
      <x:c r="C6" s="15" t="n">
        <x:v>27840</x:v>
      </x:c>
      <x:c r="D6" s="15" t="n">
        <x:v>287018</x:v>
      </x:c>
      <x:c r="E6" s="15" t="n">
        <x:v>245426</x:v>
      </x:c>
      <x:c r="F6" s="15" t="n">
        <x:v>314858</x:v>
      </x:c>
      <x:c r="G6" s="17" t="n">
        <x:v>0.05022538</x:v>
      </x:c>
    </x:row>
    <x:row r="7" ht="24" customHeight="1">
      <x:c r="A7" s="9" t="str">
        <x:v>C</x:v>
      </x:c>
      <x:c r="B7" s="11" t="n">
        <x:v>48</x:v>
      </x:c>
      <x:c r="C7" s="16" t="n">
        <x:v>79715</x:v>
      </x:c>
      <x:c r="D7" s="16" t="n">
        <x:v>373741</x:v>
      </x:c>
      <x:c r="E7" s="16" t="n">
        <x:v>293150</x:v>
      </x:c>
      <x:c r="F7" s="16" t="n">
        <x:v>453456</x:v>
      </x:c>
      <x:c r="G7" s="18" t="n">
        <x:v>0.08401719542</x:v>
      </x:c>
    </x:row>
    <x:row r="8" ht="24" customHeight="1">
      <x:c r="A8" s="5" t="str">
        <x:v>R</x:v>
      </x:c>
      <x:c r="B8" s="10" t="n">
        <x:v>48</x:v>
      </x:c>
      <x:c r="C8" s="15" t="n">
        <x:v>2798859</x:v>
      </x:c>
      <x:c r="D8" s="15" t="n">
        <x:v>378080</x:v>
      </x:c>
      <x:c r="E8" s="15" t="n">
        <x:v>333895</x:v>
      </x:c>
      <x:c r="F8" s="15" t="n">
        <x:v>3176939</x:v>
      </x:c>
      <x:c r="G8" s="17" t="n">
        <x:v>0.183053636514</x:v>
      </x:c>
    </x:row>
    <x:row r="9" ht="24" customHeight="1">
      <x:c r="A9" s="9" t="str">
        <x:v>W</x:v>
      </x:c>
      <x:c r="B9" s="11" t="n">
        <x:v>48</x:v>
      </x:c>
      <x:c r="C9" s="16" t="n">
        <x:v>2722485</x:v>
      </x:c>
      <x:c r="D9" s="16" t="n">
        <x:v>312487</x:v>
      </x:c>
      <x:c r="E9" s="16" t="n">
        <x:v>274958</x:v>
      </x:c>
      <x:c r="F9" s="16" t="n">
        <x:v>3034972</x:v>
      </x:c>
      <x:c r="G9" s="18" t="n">
        <x:v>0.170898844</x:v>
      </x:c>
    </x:row>
    <x:row r="13" ht="48" customHeight="1">
      <x:c r="A13" s="8" t="str">
        <x:v>Total</x:v>
      </x:c>
      <x:c r="B13" s="8" t="str">
        <x:v>Réponses</x:v>
      </x:c>
      <x:c r="C13" s="8" t="str">
        <x:v>Tokens prompt</x:v>
      </x:c>
      <x:c r="D13" s="8" t="str">
        <x:v>Tokens complétion</x:v>
      </x:c>
      <x:c r="E13" s="8" t="str">
        <x:v>Tokens raisonnement</x:v>
      </x:c>
      <x:c r="F13" s="8" t="str">
        <x:v>Tokens totaux</x:v>
      </x:c>
      <x:c r="G13" s="8" t="str">
        <x:v>Coût rapporté USD</x:v>
      </x:c>
    </x:row>
    <x:row r="14" ht="24" customHeight="1">
      <x:c r="A14" s="5" t="str">
        <x:v>P1</x:v>
      </x:c>
      <x:c r="B14" s="10" t="n">
        <x:f>SUM(B6:B9)</x:f>
        <x:v>192</x:v>
      </x:c>
      <x:c r="C14" s="15" t="n">
        <x:f>SUM(C6:C9)</x:f>
        <x:v>5628899</x:v>
      </x:c>
      <x:c r="D14" s="15" t="n">
        <x:f>SUM(D6:D9)</x:f>
        <x:v>1351326</x:v>
      </x:c>
      <x:c r="E14" s="15" t="n">
        <x:f>SUM(E6:E9)</x:f>
        <x:v>1147429</x:v>
      </x:c>
      <x:c r="F14" s="15" t="n">
        <x:f>SUM(F6:F9)</x:f>
        <x:v>6980225</x:v>
      </x:c>
      <x:c r="G14" s="17" t="n">
        <x:f>SUM(G6:G9)</x:f>
        <x:v>0.48819505593400003</x:v>
      </x:c>
    </x:row>
  </x:sheetData>
  <x:pageMargins left="0.7" right="0.7" top="0.75" bottom="0.75" header="0.3" footer="0.3"/>
  <x:tableParts count="2">
    <x:tablePart xmlns:r="http://schemas.openxmlformats.org/officeDocument/2006/relationships" r:id="Ra08a5b4ba2a64e59"/>
    <x:tablePart xmlns:r="http://schemas.openxmlformats.org/officeDocument/2006/relationships" r:id="R08e10deb66a94d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6" hidden="0" customWidth="1"/>
    <x:col min="3" max="3" width="50" hidden="0" customWidth="1"/>
    <x:col min="4" max="4" width="76" hidden="0" customWidth="1"/>
    <x:col min="5" max="5" width="32" hidden="0" customWidth="1"/>
  </x:cols>
  <x:sheetData>
    <x:row r="1" ht="30" customHeight="1">
      <x:c r="A1" s="1" t="str">
        <x:v>Sources et définitions</x:v>
      </x:c>
    </x:row>
    <x:row r="2" ht="21" customHeight="1">
      <x:c r="A2" s="2" t="str">
        <x:v>La projection et les quatre sources primaires sont vérifiées par SHA-256 avant export.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Chemins relatifs au dépôt. Aucun code source évalué ni résultat primaire n’a été modifié.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 ht="48" customHeight="1">
      <x:c r="A5" s="8" t="str">
        <x:v>ID</x:v>
      </x:c>
      <x:c r="B5" s="8" t="str">
        <x:v>Fichier</x:v>
      </x:c>
      <x:c r="C5" s="8" t="str">
        <x:v>Section</x:v>
      </x:c>
      <x:c r="D5" s="8" t="str">
        <x:v>SHA-256 des octets</x:v>
      </x:c>
      <x:c r="E5" s="8" t="str">
        <x:v>Type</x:v>
      </x:c>
    </x:row>
    <x:row r="6" ht="44" customHeight="1">
      <x:c r="A6" s="5" t="str">
        <x:v>S01</x:v>
      </x:c>
      <x:c r="B6" s="19" t="str">
        <x:v>artifacts/optimizer_discovery/investigation16/production/presentation/data.json</x:v>
      </x:c>
      <x:c r="C6" s="19" t="str">
        <x:v>Projection numérique vérifiée</x:v>
      </x:c>
      <x:c r="D6" s="5" t="str">
        <x:v>f86bb0793ddf924bfd43ee7345d74791da34f5776f301642f952525133371b34</x:v>
      </x:c>
      <x:c r="E6" s="5" t="str">
        <x:v>SHA-256 des octets</x:v>
      </x:c>
    </x:row>
    <x:row r="7" ht="44" customHeight="1">
      <x:c r="A7" s="9" t="str">
        <x:v>S02</x:v>
      </x:c>
      <x:c r="B7" s="20" t="str">
        <x:v>artifacts/optimizer_discovery/investigation16/production/presentation/per_seed.csv</x:v>
      </x:c>
      <x:c r="C7" s="20" t="str">
        <x:v>Export tabulaire : per_seed</x:v>
      </x:c>
      <x:c r="D7" s="9" t="str">
        <x:v>6a31d228919958dc9e9f62d7352bb2bbfc39c9ba26049c5b16af8ef9c489adad</x:v>
      </x:c>
      <x:c r="E7" s="9" t="str">
        <x:v>SHA-256 des octets</x:v>
      </x:c>
    </x:row>
    <x:row r="8" ht="44" customHeight="1">
      <x:c r="A8" s="5" t="str">
        <x:v>S03</x:v>
      </x:c>
      <x:c r="B8" s="19" t="str">
        <x:v>artifacts/optimizer_discovery/investigation16/production/presentation/contrasts.csv</x:v>
      </x:c>
      <x:c r="C8" s="19" t="str">
        <x:v>Export tabulaire : contrasts</x:v>
      </x:c>
      <x:c r="D8" s="5" t="str">
        <x:v>bf74b347dfbde4eb5576f493e309900085c54b9a5cbdc99993b16df9229d11b9</x:v>
      </x:c>
      <x:c r="E8" s="5" t="str">
        <x:v>SHA-256 des octets</x:v>
      </x:c>
    </x:row>
    <x:row r="9" ht="44" customHeight="1">
      <x:c r="A9" s="9" t="str">
        <x:v>S04</x:v>
      </x:c>
      <x:c r="B9" s="20" t="str">
        <x:v>artifacts/optimizer_discovery/investigation16/production/presentation/searches.csv</x:v>
      </x:c>
      <x:c r="C9" s="20" t="str">
        <x:v>Export tabulaire : searches</x:v>
      </x:c>
      <x:c r="D9" s="9" t="str">
        <x:v>92074a5d0295ddfd5cbe4dd771d0b1c694bcaef30e3f81e99ca27aaf13441b7a</x:v>
      </x:c>
      <x:c r="E9" s="9" t="str">
        <x:v>SHA-256 des octets</x:v>
      </x:c>
    </x:row>
    <x:row r="10" ht="44" customHeight="1">
      <x:c r="A10" s="5" t="str">
        <x:v>S05</x:v>
      </x:c>
      <x:c r="B10" s="19" t="str">
        <x:v>artifacts/optimizer_discovery/investigation16/production/presentation/usage.csv</x:v>
      </x:c>
      <x:c r="C10" s="19" t="str">
        <x:v>Export tabulaire : usage</x:v>
      </x:c>
      <x:c r="D10" s="5" t="str">
        <x:v>54786c7e3975c0e448f8f4c6921d0c2793613937d737e118b78f23c3705dddef</x:v>
      </x:c>
      <x:c r="E10" s="5" t="str">
        <x:v>SHA-256 des octets</x:v>
      </x:c>
    </x:row>
    <x:row r="11" ht="44" customHeight="1">
      <x:c r="A11" s="9" t="str">
        <x:v>S06</x:v>
      </x:c>
      <x:c r="B11" s="20" t="str">
        <x:v>artifacts/optimizer_discovery/investigation16/production_run/pipeline_complete.json</x:v>
      </x:c>
      <x:c r="C11" s="20" t="str">
        <x:v>Source primaire de la projection</x:v>
      </x:c>
      <x:c r="D11" s="9" t="str">
        <x:v>34755cc2111d0bfd11b9f22f8223f1cc737620df5eb2d04af0f3bf37c5beafca</x:v>
      </x:c>
      <x:c r="E11" s="9" t="str">
        <x:v>SHA-256 des octets</x:v>
      </x:c>
    </x:row>
    <x:row r="12" ht="44" customHeight="1">
      <x:c r="A12" s="5" t="str">
        <x:v>S07</x:v>
      </x:c>
      <x:c r="B12" s="19" t="str">
        <x:v>artifacts/optimizer_discovery/investigation16/production_run/analysis_results.json.gz</x:v>
      </x:c>
      <x:c r="C12" s="19" t="str">
        <x:v>Source primaire de la projection</x:v>
      </x:c>
      <x:c r="D12" s="5" t="str">
        <x:v>cfb3a7e123b27bf86affc46aac83e7d98c530c92f9e6c4532dd96cdc5206ba1f</x:v>
      </x:c>
      <x:c r="E12" s="5" t="str">
        <x:v>SHA-256 des octets</x:v>
      </x:c>
    </x:row>
    <x:row r="13" ht="44" customHeight="1">
      <x:c r="A13" s="9" t="str">
        <x:v>S08</x:v>
      </x:c>
      <x:c r="B13" s="20" t="str">
        <x:v>artifacts/optimizer_discovery/investigation16/production_baseline_control/results.json</x:v>
      </x:c>
      <x:c r="C13" s="20" t="str">
        <x:v>Source primaire de la projection</x:v>
      </x:c>
      <x:c r="D13" s="9" t="str">
        <x:v>0d49bd6398638705e4593fd9219c3fe04b846d1ffe28ce9cb7c1d053e2c3bbea</x:v>
      </x:c>
      <x:c r="E13" s="9" t="str">
        <x:v>SHA-256 des octets</x:v>
      </x:c>
    </x:row>
    <x:row r="14" ht="44" customHeight="1">
      <x:c r="A14" s="5" t="str">
        <x:v>S09</x:v>
      </x:c>
      <x:c r="B14" s="19" t="str">
        <x:v>artifacts/optimizer_discovery/investigation16/production_run/numeric_verification/attempt_001.json.gz</x:v>
      </x:c>
      <x:c r="C14" s="19" t="str">
        <x:v>Source primaire de la projection</x:v>
      </x:c>
      <x:c r="D14" s="5" t="str">
        <x:v>7a90d58e7ab8db6ed8d08a2fa312b77e46e6d78fdc983835c7d30c4d3e91558f</x:v>
      </x:c>
      <x:c r="E14" s="5" t="str">
        <x:v>SHA-256 des octets</x:v>
      </x:c>
    </x:row>
    <x:row r="18" ht="48" customHeight="1">
      <x:c r="A18" s="8" t="str">
        <x:v>Repère</x:v>
      </x:c>
      <x:c r="B18" s="8" t="str">
        <x:v>Définition</x:v>
      </x:c>
    </x:row>
    <x:row r="19" ht="35" customHeight="1">
      <x:c r="A19" s="5" t="str">
        <x:v>A0</x:v>
      </x:c>
      <x:c r="B19" s="19" t="str">
        <x:v>Seed manuscrit inchangé. Référence historique sans génération.</x:v>
      </x:c>
    </x:row>
    <x:row r="20" ht="35" customHeight="1">
      <x:c r="A20" s="9" t="str">
        <x:v>I</x:v>
      </x:c>
      <x:c r="B20" s="20" t="str">
        <x:v>Huit générations indépendantes depuis le seed.</x:v>
      </x:c>
    </x:row>
    <x:row r="21" ht="35" customHeight="1">
      <x:c r="A21" s="5" t="str">
        <x:v>C</x:v>
      </x:c>
      <x:c r="B21" s="19" t="str">
        <x:v>Réécriture de parents choisis selon le score train, sans résultats dans le prompt.</x:v>
      </x:c>
    </x:row>
    <x:row r="22" ht="35" customHeight="1">
      <x:c r="A22" s="9" t="str">
        <x:v>R</x:v>
      </x:c>
      <x:c r="B22" s="20" t="str">
        <x:v>Même recherche que C, avec feedback de trajectoire riche.</x:v>
      </x:c>
    </x:row>
    <x:row r="23" ht="35" customHeight="1">
      <x:c r="A23" s="5" t="str">
        <x:v>W</x:v>
      </x:c>
      <x:c r="B23" s="19" t="str">
        <x:v>Deux parents sur quatre tours ; largeur et nombre de tours changent ensemble.</x:v>
      </x:c>
    </x:row>
    <x:row r="24" ht="35" customHeight="1">
      <x:c r="A24" s="9" t="str">
        <x:v>B2</x:v>
      </x:c>
      <x:c r="B24" s="20" t="str">
        <x:v>Référence fixe supplémentaire : premier point au centre des bornes.</x:v>
      </x:c>
    </x:row>
    <x:row r="25" ht="35" customHeight="1">
      <x:c r="A25" s="5" t="str">
        <x:v>AUC</x:v>
      </x:c>
      <x:c r="B25" s="19" t="str">
        <x:v>Moyenne du regret normalisé sur B = 32, puis poids égaux des six strates.</x:v>
      </x:c>
    </x:row>
    <x:row r="26" ht="35" customHeight="1">
      <x:c r="A26" s="9" t="str">
        <x:v>Cible</x:v>
      </x:c>
      <x:c r="B26" s="20" t="str">
        <x:v>Regret normalisé ≤ 0,01 ; temps non atteint représenté par B+1 uniquement dans la moyenne censurée.</x:v>
      </x:c>
    </x:row>
    <x:row r="27" ht="35" customHeight="1">
      <x:c r="A27" s="5" t="str">
        <x:v>Invalidité</x:v>
      </x:c>
      <x:c r="B27" s="19" t="str">
        <x:v>L’éligibilité générée reste séparée du résultat de déploiement avec repli commun.</x:v>
      </x:c>
    </x:row>
    <x:row r="28" ht="35" customHeight="1">
      <x:c r="A28" s="9" t="str">
        <x:v>Portée</x:v>
      </x:c>
      <x:c r="B28" s="20" t="str">
        <x:v>Six réplications externes. Aucune nouveauté algorithmique, profondeur ou amortissement établi.</x:v>
      </x:c>
    </x:row>
    <x:row r="29" ht="35" customHeight="1">
      <x:c r="A29" s="5" t="str">
        <x:v>Figure</x:v>
      </x:c>
      <x:c r="B29" s="19" t="str">
        <x:v>Données exactes de production/presentation/paired_results.png et paired_results.pdf.</x:v>
      </x:c>
    </x:row>
    <x:row r="30" ht="35" customHeight="1">
      <x:c r="A30" s="9" t="str">
        <x:v>Cellule vide</x:v>
      </x:c>
      <x:c r="B30" s="20" t="str">
        <x:v>Information non applicable ou absente, sans remplacement par une valeur zéro.</x:v>
      </x:c>
    </x:row>
  </x:sheetData>
  <x:pageMargins left="0.7" right="0.7" top="0.75" bottom="0.75" header="0.3" footer="0.3"/>
  <x:tableParts count="2">
    <x:tablePart xmlns:r="http://schemas.openxmlformats.org/officeDocument/2006/relationships" r:id="Rd3cb8f31c4934c47"/>
    <x:tablePart xmlns:r="http://schemas.openxmlformats.org/officeDocument/2006/relationships" r:id="Red07c87dc30e4f6d"/>
  </x:tableParts>
</x:worksheet>
</file>