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1.xml" ContentType="application/vnd.openxmlformats-officedocument.spreadsheetml.worksheet+xml"/>
  <Override PartName="/xl/tables/table17.xml" ContentType="application/vnd.openxmlformats-officedocument.spreadsheetml.table+xml"/>
  <Override PartName="/xl/worksheets/sheet12.xml" ContentType="application/vnd.openxmlformats-officedocument.spreadsheetml.worksheet+xml"/>
  <Override PartName="/xl/tables/table18.xml" ContentType="application/vnd.openxmlformats-officedocument.spreadsheetml.table+xml"/>
  <Override PartName="/xl/worksheets/sheet13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4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5.xml" ContentType="application/vnd.openxmlformats-officedocument.spreadsheetml.worksheet+xml"/>
  <Override PartName="/xl/tables/table23.xml" ContentType="application/vnd.openxmlformats-officedocument.spreadsheetml.table+xml"/>
  <Override PartName="/xl/worksheets/sheet16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17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0612609da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a949cc0cb1a84faf"/>
    <x:sheet xmlns:r="http://schemas.openxmlformats.org/officeDocument/2006/relationships" name="EXP15" sheetId="2" r:id="R06912544241646a5"/>
    <x:sheet xmlns:r="http://schemas.openxmlformats.org/officeDocument/2006/relationships" name="EXP15_generations" sheetId="3" r:id="R13fed2562cd14678"/>
    <x:sheet xmlns:r="http://schemas.openxmlformats.org/officeDocument/2006/relationships" name="S0_trace" sheetId="4" r:id="R9537790b825c4033"/>
    <x:sheet xmlns:r="http://schemas.openxmlformats.org/officeDocument/2006/relationships" name="S0_selection" sheetId="5" r:id="Rceedcda7c1b7445a"/>
    <x:sheet xmlns:r="http://schemas.openxmlformats.org/officeDocument/2006/relationships" name="S0_strates" sheetId="6" r:id="R7fb08a2061714112"/>
    <x:sheet xmlns:r="http://schemas.openxmlformats.org/officeDocument/2006/relationships" name="G1" sheetId="7" r:id="Re7a9aed911c34fc4"/>
    <x:sheet xmlns:r="http://schemas.openxmlformats.org/officeDocument/2006/relationships" name="B1" sheetId="8" r:id="R9ab37d583b8b4d99"/>
    <x:sheet xmlns:r="http://schemas.openxmlformats.org/officeDocument/2006/relationships" name="B1_courbes" sheetId="9" r:id="R43b90685468f42fa"/>
    <x:sheet xmlns:r="http://schemas.openxmlformats.org/officeDocument/2006/relationships" name="B2" sheetId="10" r:id="Rbc0675057f654108"/>
    <x:sheet xmlns:r="http://schemas.openxmlformats.org/officeDocument/2006/relationships" name="S1_panels" sheetId="11" r:id="Ra1163460e4e548f3"/>
    <x:sheet xmlns:r="http://schemas.openxmlformats.org/officeDocument/2006/relationships" name="S1_banque" sheetId="12" r:id="Rdebf2442596a45bb"/>
    <x:sheet xmlns:r="http://schemas.openxmlformats.org/officeDocument/2006/relationships" name="T1" sheetId="13" r:id="R7b0d7d0ec6fe4661"/>
    <x:sheet xmlns:r="http://schemas.openxmlformats.org/officeDocument/2006/relationships" name="F1" sheetId="14" r:id="R1e96f8e1f85d4b2e"/>
    <x:sheet xmlns:r="http://schemas.openxmlformats.org/officeDocument/2006/relationships" name="F1_contrastes" sheetId="15" r:id="Rd07bc75c2dea4983"/>
    <x:sheet xmlns:r="http://schemas.openxmlformats.org/officeDocument/2006/relationships" name="F1_usage" sheetId="16" r:id="Ra9bb2ecff025480b"/>
    <x:sheet xmlns:r="http://schemas.openxmlformats.org/officeDocument/2006/relationships" name="Sources" sheetId="17" r:id="R2e0d199d6df5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"/>
    <x:numFmt numFmtId="201" formatCode="0"/>
    <x:numFmt numFmtId="202" formatCode="0.00%"/>
    <x:numFmt numFmtId="203" formatCode="#,##0"/>
    <x:numFmt numFmtId="204" formatCode="0.000000000"/>
    <x:numFmt numFmtId="205" formatCode="0.000E+00"/>
    <x:numFmt numFmtId="206" formatCode="0.000"/>
  </x:numFmts>
  <x:fonts count="5">
    <x:font>
      <x:sz val="11"/>
      <x:name val="Carlito"/>
    </x:font>
    <x:font>
      <x:b/>
      <x:sz val="17"/>
      <x:color rgb="FF243747"/>
      <x:name val="Liberation Sans"/>
    </x:font>
    <x:font>
      <x:i/>
      <x:sz val="10"/>
      <x:color rgb="FF596773"/>
      <x:name val="Liberation Sans"/>
    </x:font>
    <x:font>
      <x:sz val="11"/>
      <x:color rgb="FF182A37"/>
      <x:name val="Liberation Sans"/>
    </x:font>
    <x:font>
      <x:b/>
      <x:sz val="11"/>
      <x:color rgb="FFFFFFFF"/>
      <x:name val="Liberation Sans"/>
    </x:font>
  </x:fonts>
  <x:fills count="4">
    <x:fill>
      <x:patternFill patternType="none"/>
    </x:fill>
    <x:fill>
      <x:patternFill patternType="gray125"/>
    </x:fill>
    <x:fill>
      <x:patternFill patternType="solid">
        <x:fgColor rgb="FF314A5E"/>
      </x:patternFill>
    </x:fill>
    <x:fill>
      <x:patternFill patternType="solid">
        <x:fgColor rgb="FFF3F6F8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4" fontId="3" fillId="3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5" fontId="3" fillId="3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3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a33e8e022482b" /><Relationship Type="http://schemas.openxmlformats.org/officeDocument/2006/relationships/theme" Target="/xl/theme/theme1.xml" Id="R1da2c5d026554282" /><Relationship Type="http://schemas.openxmlformats.org/officeDocument/2006/relationships/sharedStrings" Target="/xl/sharedStrings.xml" Id="R975a7a1782d84b79" /><Relationship Type="http://schemas.openxmlformats.org/officeDocument/2006/relationships/worksheet" Target="/xl/worksheets/sheet1.xml" Id="Ra949cc0cb1a84faf" /><Relationship Type="http://schemas.openxmlformats.org/officeDocument/2006/relationships/worksheet" Target="/xl/worksheets/sheet2.xml" Id="R06912544241646a5" /><Relationship Type="http://schemas.openxmlformats.org/officeDocument/2006/relationships/worksheet" Target="/xl/worksheets/sheet3.xml" Id="R13fed2562cd14678" /><Relationship Type="http://schemas.openxmlformats.org/officeDocument/2006/relationships/worksheet" Target="/xl/worksheets/sheet4.xml" Id="R9537790b825c4033" /><Relationship Type="http://schemas.openxmlformats.org/officeDocument/2006/relationships/worksheet" Target="/xl/worksheets/sheet5.xml" Id="Rceedcda7c1b7445a" /><Relationship Type="http://schemas.openxmlformats.org/officeDocument/2006/relationships/worksheet" Target="/xl/worksheets/sheet6.xml" Id="R7fb08a2061714112" /><Relationship Type="http://schemas.openxmlformats.org/officeDocument/2006/relationships/worksheet" Target="/xl/worksheets/sheet7.xml" Id="Re7a9aed911c34fc4" /><Relationship Type="http://schemas.openxmlformats.org/officeDocument/2006/relationships/worksheet" Target="/xl/worksheets/sheet8.xml" Id="R9ab37d583b8b4d99" /><Relationship Type="http://schemas.openxmlformats.org/officeDocument/2006/relationships/worksheet" Target="/xl/worksheets/sheet9.xml" Id="R43b90685468f42fa" /><Relationship Type="http://schemas.openxmlformats.org/officeDocument/2006/relationships/worksheet" Target="/xl/worksheets/sheet10.xml" Id="Rbc0675057f654108" /><Relationship Type="http://schemas.openxmlformats.org/officeDocument/2006/relationships/worksheet" Target="/xl/worksheets/sheet11.xml" Id="Ra1163460e4e548f3" /><Relationship Type="http://schemas.openxmlformats.org/officeDocument/2006/relationships/worksheet" Target="/xl/worksheets/sheet12.xml" Id="Rdebf2442596a45bb" /><Relationship Type="http://schemas.openxmlformats.org/officeDocument/2006/relationships/worksheet" Target="/xl/worksheets/sheet13.xml" Id="R7b0d7d0ec6fe4661" /><Relationship Type="http://schemas.openxmlformats.org/officeDocument/2006/relationships/worksheet" Target="/xl/worksheets/sheet14.xml" Id="R1e96f8e1f85d4b2e" /><Relationship Type="http://schemas.openxmlformats.org/officeDocument/2006/relationships/worksheet" Target="/xl/worksheets/sheet15.xml" Id="Rd07bc75c2dea4983" /><Relationship Type="http://schemas.openxmlformats.org/officeDocument/2006/relationships/worksheet" Target="/xl/worksheets/sheet16.xml" Id="Ra9bb2ecff025480b" /><Relationship Type="http://schemas.openxmlformats.org/officeDocument/2006/relationships/worksheet" Target="/xl/worksheets/sheet17.xml" Id="R2e0d199d6df54670" /></Relationships>
</file>

<file path=xl/tables/table1.xml><?xml version="1.0" encoding="utf-8"?>
<x:table xmlns:x="http://schemas.openxmlformats.org/spreadsheetml/2006/main" id="1" name="Guide5Table" displayName="Guide5Table" ref="A5:D13" headerRowCount="1" totalsRowCount="0" totalsRowShown="0">
  <x:tableColumns count="4">
    <x:tableColumn id="1" name="Étude"/>
    <x:tableColumn id="2" name="Onglets"/>
    <x:tableColumn id="3" name="Portée"/>
    <x:tableColumn id="4" name="Figure ou tablea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de17Table" displayName="Guide17Table" ref="A17:B24" headerRowCount="1" totalsRowCount="0" totalsRowShown="0">
  <x:tableColumns count="2">
    <x:tableColumn id="1" name="Convention"/>
    <x:tableColumn id="2" name="Défin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155Table" displayName="EXP155Table" ref="A5:I20" headerRowCount="1" totalsRowCount="0" totalsRowShown="0">
  <x:tableColumns count="9">
    <x:tableColumn id="1" name="Seed externe"/>
    <x:tableColumn id="2" name="Bras"/>
    <x:tableColumn id="3" name="AUC"/>
    <x:tableColumn id="4" name="Regret final"/>
    <x:tableColumn id="5" name="Cible atteinte"/>
    <x:tableColumn id="6" name="Temps cible censuré"/>
    <x:tableColumn id="7" name="Replis"/>
    <x:tableColumn id="8" name="Trajectoires valides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1524Table" displayName="EXP1524Table" ref="A24:J26" headerRowCount="1" totalsRowCount="0" totalsRowShown="0">
  <x:tableColumns count="10">
    <x:tableColumn id="1" name="Contraste"/>
    <x:tableColumn id="2" name="Moyenne ΔAUC"/>
    <x:tableColumn id="3" name="Médiane ΔAUC"/>
    <x:tableColumn id="4" name="IC 95 % bas"/>
    <x:tableColumn id="5" name="IC 95 % haut"/>
    <x:tableColumn id="6" name="Écart-type apparié"/>
    <x:tableColumn id="7" name="Erreur standard"/>
    <x:tableColumn id="8" name="Lecture enregistrée"/>
    <x:tableColumn id="9" name="Source primaire"/>
    <x:tableColumn id="10" name="Source S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P1530Table" displayName="EXP1530Table" ref="A30:F33" headerRowCount="1" totalsRowCount="0" totalsRowShown="0">
  <x:tableColumns count="6">
    <x:tableColumn id="1" name="Bras"/>
    <x:tableColumn id="2" name="AUC moyenne"/>
    <x:tableColumn id="3" name="AUC médiane"/>
    <x:tableColumn id="4" name="Contribution AUC t≤8"/>
    <x:tableColumn id="5" name="Part AUC t≤8"/>
    <x:tableColumn id="6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15generations5Table" displayName="EXP15generations5Table" ref="A5:N85" headerRowCount="1" totalsRowCount="0" totalsRowShown="0">
  <x:tableColumns count="14">
    <x:tableColumn id="1" name="Seed externe"/>
    <x:tableColumn id="2" name="Bras"/>
    <x:tableColumn id="3" name="Slot"/>
    <x:tableColumn id="4" name="Éligible"/>
    <x:tableColumn id="5" name="Statut source"/>
    <x:tableColumn id="6" name="Fin"/>
    <x:tableColumn id="7" name="Fournisseur"/>
    <x:tableColumn id="8" name="Tokens prompt"/>
    <x:tableColumn id="9" name="Tokens complétion"/>
    <x:tableColumn id="10" name="Tokens raisonnement"/>
    <x:tableColumn id="11" name="Coût USD"/>
    <x:tableColumn id="12" name="Octets source"/>
    <x:tableColumn id="13" name="SHA-256 source"/>
    <x:tableColumn id="14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0trace5Table" displayName="S0trace5Table" ref="A5:I45" headerRowCount="1" totalsRowCount="0" totalsRowShown="0">
  <x:tableColumns count="9">
    <x:tableColumn id="1" name="Seed externe"/>
    <x:tableColumn id="2" name="Slot"/>
    <x:tableColumn id="3" name="JSON valide"/>
    <x:tableColumn id="4" name="Caractères"/>
    <x:tableColumn id="5" name="Tâches"/>
    <x:tableColumn id="6" name="Observations montrées"/>
    <x:tableColumn id="7" name="Incumbents absents"/>
    <x:tableColumn id="8" name="Ratio valeurs brutes"/>
    <x:tableColumn id="9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0trace49Table" displayName="S0trace49Table" ref="A49:D50" headerRowCount="1" totalsRowCount="0" totalsRowShown="0">
  <x:tableColumns count="4">
    <x:tableColumn id="1" name="Tâches résumées"/>
    <x:tableColumn id="2" name="Incumbents absents"/>
    <x:tableColumn id="3" name="Fraction absente"/>
    <x:tableColumn id="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0selection5Table" displayName="S0selection5Table" ref="A5:K15" headerRowCount="1" totalsRowCount="0" totalsRowShown="0">
  <x:tableColumns count="11">
    <x:tableColumn id="1" name="Seed externe"/>
    <x:tableColumn id="2" name="Bras"/>
    <x:tableColumn id="3" name="Éligibles seed inclus"/>
    <x:tableColumn id="4" name="Index sélectionné"/>
    <x:tableColumn id="5" name="Meilleur index train"/>
    <x:tableColumn id="6" name="AUC train sélection"/>
    <x:tableColumn id="7" name="AUC validation"/>
    <x:tableColumn id="8" name="Rang train sélection"/>
    <x:tableColumn id="9" name="Spearman train-val"/>
    <x:tableColumn id="10" name="Changements retrait strate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0strates5Table" displayName="S0strates5Table" ref="A5:F11" headerRowCount="1" totalsRowCount="0" totalsRowShown="0">
  <x:tableColumns count="6">
    <x:tableColumn id="1" name="Strate"/>
    <x:tableColumn id="2" name="A0 AUC"/>
    <x:tableColumn id="3" name="A1 AUC"/>
    <x:tableColumn id="4" name="A2 AUC"/>
    <x:tableColumn id="5" name="A2−A1"/>
    <x:tableColumn id="6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15Table" displayName="G15Table" ref="A5:P29" headerRowCount="1" totalsRowCount="0" totalsRowShown="0">
  <x:tableColumns count="16">
    <x:tableColumn id="1" name="Bloc"/>
    <x:tableColumn id="2" name="Contexte"/>
    <x:tableColumn id="3" name="Plafond tokens"/>
    <x:tableColumn id="4" name="Éligible"/>
    <x:tableColumn id="5" name="Statut source"/>
    <x:tableColumn id="6" name="Fin"/>
    <x:tableColumn id="7" name="AUC si valide"/>
    <x:tableColumn id="8" name="Tokens prompt"/>
    <x:tableColumn id="9" name="Tokens complétion"/>
    <x:tableColumn id="10" name="Tokens totaux"/>
    <x:tableColumn id="11" name="Coût USD"/>
    <x:tableColumn id="12" name="Durée réponse s"/>
    <x:tableColumn id="13" name="Tentatives"/>
    <x:tableColumn id="14" name="Fournisseur"/>
    <x:tableColumn id="15" name="SHA-256 source"/>
    <x:tableColumn id="16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133Table" displayName="G133Table" ref="A33:H35" headerRowCount="1" totalsRowCount="0" totalsRowShown="0">
  <x:tableColumns count="8">
    <x:tableColumn id="1" name="Plafond tokens"/>
    <x:tableColumn id="2" name="Réponses"/>
    <x:tableColumn id="3" name="Éligibles"/>
    <x:tableColumn id="4" name="Fraction éligible"/>
    <x:tableColumn id="5" name="Fins length"/>
    <x:tableColumn id="6" name="Coût USD"/>
    <x:tableColumn id="7" name="Tokens totaux"/>
    <x:tableColumn id="8" name="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15Table" displayName="B15Table" ref="A5:K13" headerRowCount="1" totalsRowCount="0" totalsRowShown="0">
  <x:tableColumns count="11">
    <x:tableColumn id="1" name="Distribution"/>
    <x:tableColumn id="2" name="Politique"/>
    <x:tableColumn id="3" name="Trajectoires"/>
    <x:tableColumn id="4" name="Valides"/>
    <x:tableColumn id="5" name="Invalides"/>
    <x:tableColumn id="6" name="AUC"/>
    <x:tableColumn id="7" name="Regret final"/>
    <x:tableColumn id="8" name="Cible atteinte"/>
    <x:tableColumn id="9" name="Temps cible censuré"/>
    <x:tableColumn id="10" name="Part AUC t≤8"/>
    <x:tableColumn id="11" name="Sour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1courbes5Table" displayName="B1courbes5Table" ref="A5:E261" headerRowCount="1" totalsRowCount="0" totalsRowShown="0">
  <x:tableColumns count="5">
    <x:tableColumn id="1" name="Distribution"/>
    <x:tableColumn id="2" name="Politique"/>
    <x:tableColumn id="3" name="Évaluation t"/>
    <x:tableColumn id="4" name="Regret normalisé moyen"/>
    <x:tableColumn id="5" name="Sour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25Table" displayName="B25Table" ref="A5:R101" headerRowCount="1" totalsRowCount="0" totalsRowShown="0">
  <x:tableColumns count="18">
    <x:tableColumn id="1" name="Paire"/>
    <x:tableColumn id="2" name="Distribution"/>
    <x:tableColumn id="3" name="Strate"/>
    <x:tableColumn id="4" name="Seed local"/>
    <x:tableColumn id="5" name="AUC seed"/>
    <x:tableColumn id="6" name="AUC B2"/>
    <x:tableColumn id="7" name="Delta AUC"/>
    <x:tableColumn id="8" name="Regret final seed"/>
    <x:tableColumn id="9" name="Regret final B2"/>
    <x:tableColumn id="10" name="Delta regret final"/>
    <x:tableColumn id="11" name="Issue AUC"/>
    <x:tableColumn id="12" name="Issue finale"/>
    <x:tableColumn id="13" name="Seed valide"/>
    <x:tableColumn id="14" name="B2 valide"/>
    <x:tableColumn id="15" name="Source seed"/>
    <x:tableColumn id="16" name="Source B2"/>
    <x:tableColumn id="17" name="Hash canonique raw seed"/>
    <x:tableColumn id="18" name="Hash canonique raw B2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2106Table" displayName="B2106Table" ref="A106:J108" headerRowCount="1" totalsRowCount="0" totalsRowShown="0">
  <x:tableColumns count="10">
    <x:tableColumn id="1" name="Distribution"/>
    <x:tableColumn id="2" name="AUC seed moyenne"/>
    <x:tableColumn id="3" name="AUC B2 moyenne"/>
    <x:tableColumn id="4" name="Réduction AUC moyenne"/>
    <x:tableColumn id="5" name="Gains AUC"/>
    <x:tableColumn id="6" name="Pertes AUC"/>
    <x:tableColumn id="7" name="Gains finaux"/>
    <x:tableColumn id="8" name="Pertes finales"/>
    <x:tableColumn id="9" name="Égalités finales"/>
    <x:tableColumn id="10" name="Sourc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1panels5Table" displayName="S1panels5Table" ref="A5:K14" headerRowCount="1" totalsRowCount="0" totalsRowShown="0">
  <x:tableColumns count="11">
    <x:tableColumn id="1" name="Instances par strate"/>
    <x:tableColumn id="2" name="Seeds locaux"/>
    <x:tableColumn id="3" name="Instances totales"/>
    <x:tableColumn id="4" name="Trajectoires par candidat"/>
    <x:tableColumn id="5" name="Sous-panels"/>
    <x:tableColumn id="6" name="AUC audit moyenne"/>
    <x:tableColumn id="7" name="AUC audit médiane"/>
    <x:tableColumn id="8" name="Excès vs meilleur banque"/>
    <x:tableColumn id="9" name="Corrélation rang moyenne"/>
    <x:tableColumn id="10" name="Réduction vs 6×1"/>
    <x:tableColumn id="11" name="Sourc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1banque5Table" displayName="S1banque5Table" ref="A5:O16" headerRowCount="1" totalsRowCount="0" totalsRowShown="0">
  <x:tableColumns count="15">
    <x:tableColumn id="1" name="Index banque"/>
    <x:tableColumn id="2" name="Provenance"/>
    <x:tableColumn id="3" name="AUC audit"/>
    <x:tableColumn id="4" name="6×1"/>
    <x:tableColumn id="5" name="6×2"/>
    <x:tableColumn id="6" name="6×4"/>
    <x:tableColumn id="7" name="12×1"/>
    <x:tableColumn id="8" name="12×2"/>
    <x:tableColumn id="9" name="12×4"/>
    <x:tableColumn id="10" name="24×1"/>
    <x:tableColumn id="11" name="24×2"/>
    <x:tableColumn id="12" name="24×4"/>
    <x:tableColumn id="13" name="SHA-256 source"/>
    <x:tableColumn id="14" name="Source banque"/>
    <x:tableColumn id="15" name="Source résulta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5Table" displayName="T15Table" ref="A5:H14" headerRowCount="1" totalsRowCount="0" totalsRowShown="0">
  <x:tableColumns count="8">
    <x:tableColumn id="1" name="Étape"/>
    <x:tableColumn id="2" name="Tour"/>
    <x:tableColumn id="3" name="Workers"/>
    <x:tableColumn id="4" name="Durée monotone s"/>
    <x:tableColumn id="5" name="Trajectoires"/>
    <x:tableColumn id="6" name="Retenue débit corrigé"/>
    <x:tableColumn id="7" name="Statut de mesure"/>
    <x:tableColumn id="8" name="Sourc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119Table" displayName="T119Table" ref="A19:E23" headerRowCount="1" totalsRowCount="0" totalsRowShown="0">
  <x:tableColumns count="5">
    <x:tableColumn id="1" name="Workers"/>
    <x:tableColumn id="2" name="Durée moyenne corrigée s"/>
    <x:tableColumn id="3" name="Secondes par trajectoire"/>
    <x:tableColumn id="4" name="Accélération vs série"/>
    <x:tableColumn id="5" name="Sourc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F15Table" displayName="F15Table" ref="A5:P29" headerRowCount="1" totalsRowCount="0" totalsRowShown="0">
  <x:tableColumns count="16">
    <x:tableColumn id="1" name="Bloc"/>
    <x:tableColumn id="2" name="Condition"/>
    <x:tableColumn id="3" name="Parent"/>
    <x:tableColumn id="4" name="AUC validation"/>
    <x:tableColumn id="5" name="Regret final"/>
    <x:tableColumn id="6" name="Cible atteinte"/>
    <x:tableColumn id="7" name="Temps cible censuré"/>
    <x:tableColumn id="8" name="Éligible train"/>
    <x:tableColumn id="9" name="Trajectoires valides"/>
    <x:tableColumn id="10" name="Trajectoires repli"/>
    <x:tableColumn id="11" name="Statut source"/>
    <x:tableColumn id="12" name="Fin"/>
    <x:tableColumn id="13" name="AUC parent inchangé"/>
    <x:tableColumn id="14" name="AUC seed inchangé"/>
    <x:tableColumn id="15" name="SHA-256 source"/>
    <x:tableColumn id="16" name="Sourc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F134Table" displayName="F134Table" ref="A34:I38" headerRowCount="1" totalsRowCount="0" totalsRowShown="0">
  <x:tableColumns count="9">
    <x:tableColumn id="1" name="Condition"/>
    <x:tableColumn id="2" name="AUC moyenne"/>
    <x:tableColumn id="3" name="AUC médiane"/>
    <x:tableColumn id="4" name="Regret final moyen"/>
    <x:tableColumn id="5" name="Cible atteinte"/>
    <x:tableColumn id="6" name="Temps cible censuré"/>
    <x:tableColumn id="7" name="Éligibles train"/>
    <x:tableColumn id="8" name="Replis validation"/>
    <x:tableColumn id="9" name="Sourc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F1contrastes5Table" displayName="F1contrastes5Table" ref="A5:M9" headerRowCount="1" totalsRowCount="0" totalsRowShown="0">
  <x:tableColumns count="13">
    <x:tableColumn id="1" name="Contraste"/>
    <x:tableColumn id="2" name="16301"/>
    <x:tableColumn id="3" name="16302"/>
    <x:tableColumn id="4" name="16303"/>
    <x:tableColumn id="5" name="16304"/>
    <x:tableColumn id="6" name="16305"/>
    <x:tableColumn id="7" name="16306"/>
    <x:tableColumn id="8" name="Moyenne ΔAUC"/>
    <x:tableColumn id="9" name="Médiane ΔAUC"/>
    <x:tableColumn id="10" name="IC 95 % bas"/>
    <x:tableColumn id="11" name="IC 95 % haut"/>
    <x:tableColumn id="12" name="Lecture enregistrée"/>
    <x:tableColumn id="13" name="Sourc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F1usage5Table" displayName="F1usage5Table" ref="A5:S29" headerRowCount="1" totalsRowCount="0" totalsRowShown="0">
  <x:tableColumns count="19">
    <x:tableColumn id="1" name="Bloc"/>
    <x:tableColumn id="2" name="Condition"/>
    <x:tableColumn id="3" name="Statut source"/>
    <x:tableColumn id="4" name="Fin"/>
    <x:tableColumn id="5" name="Tokens prompt"/>
    <x:tableColumn id="6" name="Tokens complétion"/>
    <x:tableColumn id="7" name="Tokens raisonnement"/>
    <x:tableColumn id="8" name="Tokens totaux"/>
    <x:tableColumn id="9" name="Coût réponse USD"/>
    <x:tableColumn id="10" name="Coût reçu USD"/>
    <x:tableColumn id="11" name="Tentatives"/>
    <x:tableColumn id="12" name="Complétion distante inconnue"/>
    <x:tableColumn id="13" name="Durée réponse s"/>
    <x:tableColumn id="14" name="Fournisseur"/>
    <x:tableColumn id="15" name="Objectifs effectifs"/>
    <x:tableColumn id="16" name="Allocations inutilisées"/>
    <x:tableColumn id="17" name="Sous-processus"/>
    <x:tableColumn id="18" name="Anomalies compteurs"/>
    <x:tableColumn id="19" name="Sourc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F1usage34Table" displayName="F1usage34Table" ref="A34:I38" headerRowCount="1" totalsRowCount="0" totalsRowShown="0">
  <x:tableColumns count="9">
    <x:tableColumn id="1" name="Condition"/>
    <x:tableColumn id="2" name="Réponses"/>
    <x:tableColumn id="3" name="Tentatives"/>
    <x:tableColumn id="4" name="Tokens prompt"/>
    <x:tableColumn id="5" name="Tokens complétion"/>
    <x:tableColumn id="6" name="Tokens raisonnement"/>
    <x:tableColumn id="7" name="Tokens totaux"/>
    <x:tableColumn id="8" name="Coût réponse USD"/>
    <x:tableColumn id="9" name="Sourc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ources5Table" displayName="Sources5Table" ref="A5:F209" headerRowCount="1" totalsRowCount="0" totalsRowShown="0">
  <x:tableColumns count="6">
    <x:tableColumn id="1" name="ID"/>
    <x:tableColumn id="2" name="Fichier source"/>
    <x:tableColumn id="3" name="Section / champs"/>
    <x:tableColumn id="4" name="SHA-256 des octets"/>
    <x:tableColumn id="5" name="Type d’empreinte"/>
    <x:tableColumn id="6" name="Utilis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13bb36bba74b1f" /><Relationship Type="http://schemas.openxmlformats.org/officeDocument/2006/relationships/table" Target="/xl/tables/table2.xml" Id="R4365df9f015643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eab238ab7a54985" /><Relationship Type="http://schemas.openxmlformats.org/officeDocument/2006/relationships/table" Target="/xl/tables/table4.xml" Id="R543f5cea0e324bb7" /><Relationship Type="http://schemas.openxmlformats.org/officeDocument/2006/relationships/table" Target="/xl/tables/table5.xml" Id="R6ec595812ae24f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e23b610f385847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9b1048861c084853" /><Relationship Type="http://schemas.openxmlformats.org/officeDocument/2006/relationships/table" Target="/xl/tables/table8.xml" Id="Rd1272da9921d40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b97052bbe90144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9a035eedb72e44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e539f222e02d46a9" /><Relationship Type="http://schemas.openxmlformats.org/officeDocument/2006/relationships/table" Target="/xl/tables/table12.xml" Id="R5fe35e27ee074d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bc6686fc9c2b42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4.xml" Id="R2191b8381c674c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5.xml" Id="R4cbeab81aed54aa8" /><Relationship Type="http://schemas.openxmlformats.org/officeDocument/2006/relationships/table" Target="/xl/tables/table16.xml" Id="Rb4d92528d9414d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7.xml" Id="Rfb8ef5ca6d5944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8.xml" Id="R5f6f9c87be6c41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9.xml" Id="Rce06259fd8464481" /><Relationship Type="http://schemas.openxmlformats.org/officeDocument/2006/relationships/table" Target="/xl/tables/table20.xml" Id="R661be9529add4b8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1.xml" Id="R8e336832eef345f9" /><Relationship Type="http://schemas.openxmlformats.org/officeDocument/2006/relationships/table" Target="/xl/tables/table22.xml" Id="Re8e087efbb6549e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3.xml" Id="R39dff0f23d0c475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4.xml" Id="R95ae49572b73496e" /><Relationship Type="http://schemas.openxmlformats.org/officeDocument/2006/relationships/table" Target="/xl/tables/table25.xml" Id="Rf20e56515011496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6.xml" Id="R79a2c8a676ba49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60" hidden="0" customWidth="1"/>
    <x:col min="4" max="4" width="53" hidden="0" customWidth="1"/>
  </x:cols>
  <x:sheetData>
    <x:row r="1" ht="29" customHeight="1">
      <x:c r="A1" s="1" t="str">
        <x:v>Données de recherche sur la découverte d’optimiseurs</x:v>
      </x:c>
    </x:row>
    <x:row r="2" ht="21" customHeight="1">
      <x:c r="A2" s="2" t="str">
        <x:v>EXP-15 et diagnostics terminés d’EXP-16. P1 en cours exclu de ce classeur.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Source : résultats préservés. Les intervalles sont importés du protocole, sans recalcul statistique dans Excel.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Étude</x:v>
      </x:c>
      <x:c r="B5" s="8" t="str">
        <x:v>Onglets</x:v>
      </x:c>
      <x:c r="C5" s="8" t="str">
        <x:v>Portée</x:v>
      </x:c>
      <x:c r="D5" s="8" t="str">
        <x:v>Figure ou tableau</x:v>
      </x:c>
    </x:row>
    <x:row r="6" ht="43" customHeight="1">
      <x:c r="A6" s="5" t="str">
        <x:v>EXP-15 / S0</x:v>
      </x:c>
      <x:c r="B6" s="5" t="str">
        <x:v>EXP15, EXP15_generations, S0_*</x:v>
      </x:c>
      <x:c r="C6" s="23" t="str">
        <x:v>Confirmation à 5 seeds ; audit rétrospectif distinct</x:v>
      </x:c>
      <x:c r="D6" s="23" t="str">
        <x:v>AUC, contrastes, invalidité, sélection et trace</x:v>
      </x:c>
    </x:row>
    <x:row r="7" ht="43" customHeight="1">
      <x:c r="A7" s="9" t="str">
        <x:v>G1</x:v>
      </x:c>
      <x:c r="B7" s="9" t="str">
        <x:v>G1</x:v>
      </x:c>
      <x:c r="C7" s="24" t="str">
        <x:v>24 réponses ; faisabilité de génération, pas supériorité</x:v>
      </x:c>
      <x:c r="D7" s="24" t="str">
        <x:v>Plafonds de 8 000 et 32 000 tokens</x:v>
      </x:c>
    </x:row>
    <x:row r="8" ht="43" customHeight="1">
      <x:c r="A8" s="5" t="str">
        <x:v>B1</x:v>
      </x:c>
      <x:c r="B8" s="5" t="str">
        <x:v>B1, B1_courbes</x:v>
      </x:c>
      <x:c r="C8" s="23" t="str">
        <x:v>384 trajectoires de quatre politiques fixes</x:v>
      </x:c>
      <x:c r="D8" s="23" t="str">
        <x:v>benchmark/headroom.png et .pdf</x:v>
      </x:c>
    </x:row>
    <x:row r="9" ht="43" customHeight="1">
      <x:c r="A9" s="9" t="str">
        <x:v>B2</x:v>
      </x:c>
      <x:c r="B9" s="9" t="str">
        <x:v>B2</x:v>
      </x:c>
      <x:c r="C9" s="24" t="str">
        <x:v>96 paires publiques ; initialisation seulement</x:v>
      </x:c>
      <x:c r="D9" s="24" t="str">
        <x:v>benchmark/b2/paired_outcomes.png et .pdf</x:v>
      </x:c>
    </x:row>
    <x:row r="10" ht="43" customHeight="1">
      <x:c r="A10" s="5" t="str">
        <x:v>S1</x:v>
      </x:c>
      <x:c r="B10" s="5" t="str">
        <x:v>S1_panels, S1_banque</x:v>
      </x:c>
      <x:c r="C10" s="23" t="str">
        <x:v>200 sous-panels chevauchants ; banque fixe</x:v>
      </x:c>
      <x:c r="D10" s="23" t="str">
        <x:v>selection/selection_quality.png et .svg</x:v>
      </x:c>
    </x:row>
    <x:row r="11" ht="43" customHeight="1">
      <x:c r="A11" s="9" t="str">
        <x:v>T1</x:v>
      </x:c>
      <x:c r="B11" s="9" t="str">
        <x:v>T1</x:v>
      </x:c>
      <x:c r="C11" s="24" t="str">
        <x:v>Débit matériel ; mesure suspendue conservée</x:v>
      </x:c>
      <x:c r="D11" s="24" t="str">
        <x:v>throughput/REPORT_T1.md, timings corrigés</x:v>
      </x:c>
    </x:row>
    <x:row r="12" ht="43" customHeight="1">
      <x:c r="A12" s="5" t="str">
        <x:v>F1</x:v>
      </x:c>
      <x:c r="B12" s="5" t="str">
        <x:v>F1, F1_contrastes, F1_usage</x:v>
      </x:c>
      <x:c r="C12" s="23" t="str">
        <x:v>6 blocs à parent fixe ; déploiement avec repli</x:v>
      </x:c>
      <x:c r="D12" s="23" t="str">
        <x:v>feedback_experiment/REPORT.md</x:v>
      </x:c>
    </x:row>
    <x:row r="13" ht="43" customHeight="1">
      <x:c r="A13" s="9" t="str">
        <x:v>Provenance</x:v>
      </x:c>
      <x:c r="B13" s="9" t="str">
        <x:v>Sources</x:v>
      </x:c>
      <x:c r="C13" s="24" t="str">
        <x:v>Fichiers relatifs au dépôt et SHA-256 des octets</x:v>
      </x:c>
      <x:c r="D13" s="24" t="str">
        <x:v>Renvoi par identifiant Sxxx dans les tables</x:v>
      </x:c>
    </x:row>
    <x:row r="17" ht="44" customHeight="1">
      <x:c r="A17" s="8" t="str">
        <x:v>Convention</x:v>
      </x:c>
      <x:c r="B17" s="8" t="str">
        <x:v>Définition</x:v>
      </x:c>
    </x:row>
    <x:row r="18" ht="52" customHeight="1">
      <x:c r="A18" s="5" t="str">
        <x:v>Delta</x:v>
      </x:c>
      <x:c r="B18" s="23" t="str">
        <x:v>Première politique moins la seconde. Delta AUC négatif : première meilleure.</x:v>
      </x:c>
    </x:row>
    <x:row r="19" ht="52" customHeight="1">
      <x:c r="A19" s="9" t="str">
        <x:v>Valeur manquante</x:v>
      </x:c>
      <x:c r="B19" s="24" t="str">
        <x:v>Cellule vide et statut explicite. Une invalidité ne reçoit pas de regret artificiel.</x:v>
      </x:c>
    </x:row>
    <x:row r="20" ht="52" customHeight="1">
      <x:c r="A20" s="5" t="str">
        <x:v>Indicateurs</x:v>
      </x:c>
      <x:c r="B20" s="23" t="str">
        <x:v>Les booléens de validité et de conservation sont codés 1 = oui, 0 = non. Ce codage ne concerne pas les regrets.</x:v>
      </x:c>
    </x:row>
    <x:row r="21" ht="52" customHeight="1">
      <x:c r="A21" s="9" t="str">
        <x:v>Fallback / repli</x:v>
      </x:c>
      <x:c r="B21" s="24" t="str">
        <x:v>Politique seed commune poursuivant la même trajectoire, sans remise à zéro du budget.</x:v>
      </x:c>
    </x:row>
    <x:row r="22" ht="52" customHeight="1">
      <x:c r="A22" s="5" t="str">
        <x:v>Inférence</x:v>
      </x:c>
      <x:c r="B22" s="23" t="str">
        <x:v>Bootstrap importé, fragile à 5 ou 6 blocs. Aucun gain futur promis.</x:v>
      </x:c>
    </x:row>
    <x:row r="23" ht="52" customHeight="1">
      <x:c r="A23" s="9" t="str">
        <x:v>P1</x:v>
      </x:c>
      <x:c r="B23" s="24" t="str">
        <x:v>Aucune réponse, trajectoire, sélection ou métrique P1 chargée. Aucune valeur provisoire n’est créée.</x:v>
      </x:c>
    </x:row>
    <x:row r="24" ht="52" customHeight="1">
      <x:c r="A24" s="5" t="str">
        <x:v>Source exacte</x:v>
      </x:c>
      <x:c r="B24" s="23" t="str">
        <x:v>Les chiffres des figures sont conservés sans écrêtage, même en cas de perte.</x:v>
      </x:c>
    </x:row>
  </x:sheetData>
  <x:pageMargins left="0.7" right="0.7" top="0.75" bottom="0.75" header="0.3" footer="0.3"/>
  <x:tableParts count="2">
    <x:tablePart xmlns:r="http://schemas.openxmlformats.org/officeDocument/2006/relationships" r:id="R1e13bb36bba74b1f"/>
    <x:tablePart xmlns:r="http://schemas.openxmlformats.org/officeDocument/2006/relationships" r:id="R4365df9f015643a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23" hidden="0" customWidth="1"/>
    <x:col min="9" max="9" width="15" hidden="0" customWidth="1"/>
    <x:col min="10" max="10" width="15" hidden="0" customWidth="1"/>
  </x:cols>
  <x:sheetData>
    <x:row r="1" ht="29" customHeight="1">
      <x:c r="A1" s="1" t="str">
        <x:v>EXP-15 : résultats par seed</x:v>
      </x:c>
    </x:row>
    <x:row r="2" ht="21" customHeight="1">
      <x:c r="A2" s="2" t="str">
        <x:v>Holdout, 5 seeds externes. Déploiement avec repli commun.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Seed externe</x:v>
      </x:c>
      <x:c r="B5" s="8" t="str">
        <x:v>Bras</x:v>
      </x:c>
      <x:c r="C5" s="8" t="str">
        <x:v>AUC</x:v>
      </x:c>
      <x:c r="D5" s="8" t="str">
        <x:v>Regret final</x:v>
      </x:c>
      <x:c r="E5" s="8" t="str">
        <x:v>Cible atteinte</x:v>
      </x:c>
      <x:c r="F5" s="8" t="str">
        <x:v>Temps cible censuré</x:v>
      </x:c>
      <x:c r="G5" s="8" t="str">
        <x:v>Replis</x:v>
      </x:c>
      <x:c r="H5" s="8" t="str">
        <x:v>Trajectoires valides</x:v>
      </x:c>
      <x:c r="I5" s="8" t="str">
        <x:v>Source</x:v>
      </x:c>
    </x:row>
    <x:row r="6" ht="22" customHeight="1">
      <x:c r="A6" s="10" t="n">
        <x:v>11</x:v>
      </x:c>
      <x:c r="B6" s="5" t="str">
        <x:v>A0</x:v>
      </x:c>
      <x:c r="C6" s="5" t="n">
        <x:v>0.120231506654072</x:v>
      </x:c>
      <x:c r="D6" s="5" t="n">
        <x:v>0.00930091209943626</x:v>
      </x:c>
      <x:c r="E6" s="12" t="n">
        <x:v>0.75</x:v>
      </x:c>
      <x:c r="F6" s="5" t="n">
        <x:v>20</x:v>
      </x:c>
      <x:c r="G6" s="10" t="n">
        <x:v>0</x:v>
      </x:c>
      <x:c r="H6" s="10" t="n">
        <x:v>12</x:v>
      </x:c>
      <x:c r="I6" s="5" t="str">
        <x:v>S001</x:v>
      </x:c>
    </x:row>
    <x:row r="7" ht="22" customHeight="1">
      <x:c r="A7" s="11" t="n">
        <x:v>11</x:v>
      </x:c>
      <x:c r="B7" s="9" t="str">
        <x:v>A1</x:v>
      </x:c>
      <x:c r="C7" s="9" t="n">
        <x:v>0.10444417191344338</x:v>
      </x:c>
      <x:c r="D7" s="9" t="n">
        <x:v>0.000329986100481171</x:v>
      </x:c>
      <x:c r="E7" s="13" t="n">
        <x:v>1</x:v>
      </x:c>
      <x:c r="F7" s="9" t="n">
        <x:v>12.75</x:v>
      </x:c>
      <x:c r="G7" s="11" t="n">
        <x:v>0</x:v>
      </x:c>
      <x:c r="H7" s="11" t="n">
        <x:v>12</x:v>
      </x:c>
      <x:c r="I7" s="9" t="str">
        <x:v>S001</x:v>
      </x:c>
    </x:row>
    <x:row r="8" ht="22" customHeight="1">
      <x:c r="A8" s="10" t="n">
        <x:v>11</x:v>
      </x:c>
      <x:c r="B8" s="5" t="str">
        <x:v>A2</x:v>
      </x:c>
      <x:c r="C8" s="5" t="n">
        <x:v>0.120231506654072</x:v>
      </x:c>
      <x:c r="D8" s="5" t="n">
        <x:v>0.00930091209943626</x:v>
      </x:c>
      <x:c r="E8" s="12" t="n">
        <x:v>0.75</x:v>
      </x:c>
      <x:c r="F8" s="5" t="n">
        <x:v>20</x:v>
      </x:c>
      <x:c r="G8" s="10" t="n">
        <x:v>0</x:v>
      </x:c>
      <x:c r="H8" s="10" t="n">
        <x:v>12</x:v>
      </x:c>
      <x:c r="I8" s="5" t="str">
        <x:v>S001</x:v>
      </x:c>
    </x:row>
    <x:row r="9" ht="22" customHeight="1">
      <x:c r="A9" s="11" t="n">
        <x:v>23</x:v>
      </x:c>
      <x:c r="B9" s="9" t="str">
        <x:v>A0</x:v>
      </x:c>
      <x:c r="C9" s="9" t="n">
        <x:v>0.16239610954879963</x:v>
      </x:c>
      <x:c r="D9" s="9" t="n">
        <x:v>0.0359860053325556</x:v>
      </x:c>
      <x:c r="E9" s="13" t="n">
        <x:v>0.5</x:v>
      </x:c>
      <x:c r="F9" s="9" t="n">
        <x:v>23.666666666666668</x:v>
      </x:c>
      <x:c r="G9" s="11" t="n">
        <x:v>0</x:v>
      </x:c>
      <x:c r="H9" s="11" t="n">
        <x:v>12</x:v>
      </x:c>
      <x:c r="I9" s="9" t="str">
        <x:v>S001</x:v>
      </x:c>
    </x:row>
    <x:row r="10" ht="22" customHeight="1">
      <x:c r="A10" s="10" t="n">
        <x:v>23</x:v>
      </x:c>
      <x:c r="B10" s="5" t="str">
        <x:v>A1</x:v>
      </x:c>
      <x:c r="C10" s="5" t="n">
        <x:v>0.15178671750797715</x:v>
      </x:c>
      <x:c r="D10" s="5" t="n">
        <x:v>0.001904024126167208</x:v>
      </x:c>
      <x:c r="E10" s="12" t="n">
        <x:v>0.9166666666666666</x:v>
      </x:c>
      <x:c r="F10" s="5" t="n">
        <x:v>12.666666666666666</x:v>
      </x:c>
      <x:c r="G10" s="10" t="n">
        <x:v>0</x:v>
      </x:c>
      <x:c r="H10" s="10" t="n">
        <x:v>12</x:v>
      </x:c>
      <x:c r="I10" s="5" t="str">
        <x:v>S001</x:v>
      </x:c>
    </x:row>
    <x:row r="11" ht="22" customHeight="1">
      <x:c r="A11" s="11" t="n">
        <x:v>23</x:v>
      </x:c>
      <x:c r="B11" s="9" t="str">
        <x:v>A2</x:v>
      </x:c>
      <x:c r="C11" s="9" t="n">
        <x:v>0.14569115045017328</x:v>
      </x:c>
      <x:c r="D11" s="9" t="n">
        <x:v>0.007131659691829377</x:v>
      </x:c>
      <x:c r="E11" s="13" t="n">
        <x:v>0.75</x:v>
      </x:c>
      <x:c r="F11" s="9" t="n">
        <x:v>17.833333333333332</x:v>
      </x:c>
      <x:c r="G11" s="11" t="n">
        <x:v>0</x:v>
      </x:c>
      <x:c r="H11" s="11" t="n">
        <x:v>12</x:v>
      </x:c>
      <x:c r="I11" s="9" t="str">
        <x:v>S001</x:v>
      </x:c>
    </x:row>
    <x:row r="12" ht="22" customHeight="1">
      <x:c r="A12" s="10" t="n">
        <x:v>37</x:v>
      </x:c>
      <x:c r="B12" s="5" t="str">
        <x:v>A0</x:v>
      </x:c>
      <x:c r="C12" s="5" t="n">
        <x:v>0.16488635392757883</x:v>
      </x:c>
      <x:c r="D12" s="5" t="n">
        <x:v>0.02028362936973561</x:v>
      </x:c>
      <x:c r="E12" s="12" t="n">
        <x:v>0.6666666666666666</x:v>
      </x:c>
      <x:c r="F12" s="5" t="n">
        <x:v>19.166666666666668</x:v>
      </x:c>
      <x:c r="G12" s="10" t="n">
        <x:v>0</x:v>
      </x:c>
      <x:c r="H12" s="10" t="n">
        <x:v>12</x:v>
      </x:c>
      <x:c r="I12" s="5" t="str">
        <x:v>S001</x:v>
      </x:c>
    </x:row>
    <x:row r="13" ht="22" customHeight="1">
      <x:c r="A13" s="11" t="n">
        <x:v>37</x:v>
      </x:c>
      <x:c r="B13" s="9" t="str">
        <x:v>A1</x:v>
      </x:c>
      <x:c r="C13" s="9" t="n">
        <x:v>0.1266870687629585</x:v>
      </x:c>
      <x:c r="D13" s="9" t="n">
        <x:v>0.0023311332117505385</x:v>
      </x:c>
      <x:c r="E13" s="13" t="n">
        <x:v>0.9166666666666666</x:v>
      </x:c>
      <x:c r="F13" s="9" t="n">
        <x:v>12</x:v>
      </x:c>
      <x:c r="G13" s="11" t="n">
        <x:v>0</x:v>
      </x:c>
      <x:c r="H13" s="11" t="n">
        <x:v>12</x:v>
      </x:c>
      <x:c r="I13" s="9" t="str">
        <x:v>S001</x:v>
      </x:c>
    </x:row>
    <x:row r="14" ht="22" customHeight="1">
      <x:c r="A14" s="10" t="n">
        <x:v>37</x:v>
      </x:c>
      <x:c r="B14" s="5" t="str">
        <x:v>A2</x:v>
      </x:c>
      <x:c r="C14" s="5" t="n">
        <x:v>0.16488635392757883</x:v>
      </x:c>
      <x:c r="D14" s="5" t="n">
        <x:v>0.02028362936973561</x:v>
      </x:c>
      <x:c r="E14" s="12" t="n">
        <x:v>0.6666666666666666</x:v>
      </x:c>
      <x:c r="F14" s="5" t="n">
        <x:v>19.166666666666668</x:v>
      </x:c>
      <x:c r="G14" s="10" t="n">
        <x:v>0</x:v>
      </x:c>
      <x:c r="H14" s="10" t="n">
        <x:v>12</x:v>
      </x:c>
      <x:c r="I14" s="5" t="str">
        <x:v>S001</x:v>
      </x:c>
    </x:row>
    <x:row r="15" ht="22" customHeight="1">
      <x:c r="A15" s="11" t="n">
        <x:v>41</x:v>
      </x:c>
      <x:c r="B15" s="9" t="str">
        <x:v>A0</x:v>
      </x:c>
      <x:c r="C15" s="9" t="n">
        <x:v>0.13327980962129563</x:v>
      </x:c>
      <x:c r="D15" s="9" t="n">
        <x:v>0.01369144446826639</x:v>
      </x:c>
      <x:c r="E15" s="13" t="n">
        <x:v>0.5833333333333334</x:v>
      </x:c>
      <x:c r="F15" s="9" t="n">
        <x:v>19.833333333333332</x:v>
      </x:c>
      <x:c r="G15" s="11" t="n">
        <x:v>0</x:v>
      </x:c>
      <x:c r="H15" s="11" t="n">
        <x:v>12</x:v>
      </x:c>
      <x:c r="I15" s="9" t="str">
        <x:v>S001</x:v>
      </x:c>
    </x:row>
    <x:row r="16" ht="22" customHeight="1">
      <x:c r="A16" s="10" t="n">
        <x:v>41</x:v>
      </x:c>
      <x:c r="B16" s="5" t="str">
        <x:v>A1</x:v>
      </x:c>
      <x:c r="C16" s="5" t="n">
        <x:v>0.08670003972086651</x:v>
      </x:c>
      <x:c r="D16" s="5" t="n">
        <x:v>0.02811624092087211</x:v>
      </x:c>
      <x:c r="E16" s="12" t="n">
        <x:v>0.75</x:v>
      </x:c>
      <x:c r="F16" s="5" t="n">
        <x:v>18.166666666666668</x:v>
      </x:c>
      <x:c r="G16" s="10" t="n">
        <x:v>0</x:v>
      </x:c>
      <x:c r="H16" s="10" t="n">
        <x:v>12</x:v>
      </x:c>
      <x:c r="I16" s="5" t="str">
        <x:v>S001</x:v>
      </x:c>
    </x:row>
    <x:row r="17" ht="22" customHeight="1">
      <x:c r="A17" s="11" t="n">
        <x:v>41</x:v>
      </x:c>
      <x:c r="B17" s="9" t="str">
        <x:v>A2</x:v>
      </x:c>
      <x:c r="C17" s="9" t="n">
        <x:v>0.07906765461744114</x:v>
      </x:c>
      <x:c r="D17" s="9" t="n">
        <x:v>0.0022029360954258443</x:v>
      </x:c>
      <x:c r="E17" s="13" t="n">
        <x:v>0.9166666666666666</x:v>
      </x:c>
      <x:c r="F17" s="9" t="n">
        <x:v>14.666666666666666</x:v>
      </x:c>
      <x:c r="G17" s="11" t="n">
        <x:v>0</x:v>
      </x:c>
      <x:c r="H17" s="11" t="n">
        <x:v>12</x:v>
      </x:c>
      <x:c r="I17" s="9" t="str">
        <x:v>S001</x:v>
      </x:c>
    </x:row>
    <x:row r="18" ht="22" customHeight="1">
      <x:c r="A18" s="10" t="n">
        <x:v>53</x:v>
      </x:c>
      <x:c r="B18" s="5" t="str">
        <x:v>A0</x:v>
      </x:c>
      <x:c r="C18" s="5" t="n">
        <x:v>0.11710061692722683</x:v>
      </x:c>
      <x:c r="D18" s="5" t="n">
        <x:v>0.01794491436525254</x:v>
      </x:c>
      <x:c r="E18" s="12" t="n">
        <x:v>0.5833333333333334</x:v>
      </x:c>
      <x:c r="F18" s="5" t="n">
        <x:v>23.333333333333332</x:v>
      </x:c>
      <x:c r="G18" s="10" t="n">
        <x:v>0</x:v>
      </x:c>
      <x:c r="H18" s="10" t="n">
        <x:v>12</x:v>
      </x:c>
      <x:c r="I18" s="5" t="str">
        <x:v>S001</x:v>
      </x:c>
    </x:row>
    <x:row r="19" ht="22" customHeight="1">
      <x:c r="A19" s="11" t="n">
        <x:v>53</x:v>
      </x:c>
      <x:c r="B19" s="9" t="str">
        <x:v>A1</x:v>
      </x:c>
      <x:c r="C19" s="9" t="n">
        <x:v>0.13912261038475915</x:v>
      </x:c>
      <x:c r="D19" s="9" t="n">
        <x:v>0.017870535455130367</x:v>
      </x:c>
      <x:c r="E19" s="13" t="n">
        <x:v>0.5</x:v>
      </x:c>
      <x:c r="F19" s="9" t="n">
        <x:v>24.5</x:v>
      </x:c>
      <x:c r="G19" s="11" t="n">
        <x:v>0</x:v>
      </x:c>
      <x:c r="H19" s="11" t="n">
        <x:v>12</x:v>
      </x:c>
      <x:c r="I19" s="9" t="str">
        <x:v>S001</x:v>
      </x:c>
    </x:row>
    <x:row r="20" ht="22" customHeight="1">
      <x:c r="A20" s="10" t="n">
        <x:v>53</x:v>
      </x:c>
      <x:c r="B20" s="5" t="str">
        <x:v>A2</x:v>
      </x:c>
      <x:c r="C20" s="5" t="n">
        <x:v>0.07352510009913635</x:v>
      </x:c>
      <x:c r="D20" s="5" t="n">
        <x:v>0.02190942017583488</x:v>
      </x:c>
      <x:c r="E20" s="12" t="n">
        <x:v>0.75</x:v>
      </x:c>
      <x:c r="F20" s="5" t="n">
        <x:v>15.25</x:v>
      </x:c>
      <x:c r="G20" s="10" t="n">
        <x:v>0</x:v>
      </x:c>
      <x:c r="H20" s="10" t="n">
        <x:v>12</x:v>
      </x:c>
      <x:c r="I20" s="5" t="str">
        <x:v>S001</x:v>
      </x:c>
    </x:row>
    <x:row r="24" ht="44" customHeight="1">
      <x:c r="A24" s="8" t="str">
        <x:v>Contraste</x:v>
      </x:c>
      <x:c r="B24" s="8" t="str">
        <x:v>Moyenne ΔAUC</x:v>
      </x:c>
      <x:c r="C24" s="8" t="str">
        <x:v>Médiane ΔAUC</x:v>
      </x:c>
      <x:c r="D24" s="8" t="str">
        <x:v>IC 95 % bas</x:v>
      </x:c>
      <x:c r="E24" s="8" t="str">
        <x:v>IC 95 % haut</x:v>
      </x:c>
      <x:c r="F24" s="8" t="str">
        <x:v>Écart-type apparié</x:v>
      </x:c>
      <x:c r="G24" s="8" t="str">
        <x:v>Erreur standard</x:v>
      </x:c>
      <x:c r="H24" s="8" t="str">
        <x:v>Lecture enregistrée</x:v>
      </x:c>
      <x:c r="I24" s="8" t="str">
        <x:v>Source primaire</x:v>
      </x:c>
      <x:c r="J24" s="8" t="str">
        <x:v>Source S0</x:v>
      </x:c>
    </x:row>
    <x:row r="25" ht="22" customHeight="1">
      <x:c r="A25" s="5" t="str">
        <x:v>A2-A0</x:v>
      </x:c>
      <x:c r="B25" s="5" t="n">
        <x:v>-0.022898526186114262</x:v>
      </x:c>
      <x:c r="C25" s="5" t="n">
        <x:v>-0.01670495909862635</x:v>
      </x:c>
      <x:c r="D25" s="5" t="n">
        <x:v>-0.042456060552503255</x:v>
      </x:c>
      <x:c r="E25" s="5" t="n">
        <x:v>-0.0033409918197252696</x:v>
      </x:c>
      <x:c r="F25" s="5" t="n">
        <x:v>0.024975620953257185</x:v>
      </x:c>
      <x:c r="G25" s="5" t="n">
        <x:v>0.011169437246350233</x:v>
      </x:c>
      <x:c r="H25" s="5" t="str">
        <x:v>positive signal</x:v>
      </x:c>
      <x:c r="I25" s="5" t="str">
        <x:v>S001</x:v>
      </x:c>
      <x:c r="J25" s="5" t="str">
        <x:v>S002</x:v>
      </x:c>
    </x:row>
    <x:row r="26" ht="22" customHeight="1">
      <x:c r="A26" s="9" t="str">
        <x:v>A2-A1</x:v>
      </x:c>
      <x:c r="B26" s="9" t="n">
        <x:v>-0.005067768508320613</x:v>
      </x:c>
      <x:c r="C26" s="9" t="n">
        <x:v>-0.006095567057803869</x:v>
      </x:c>
      <x:c r="D26" s="9" t="n">
        <x:v>-0.03772751624393303</x:v>
      </x:c>
      <x:c r="E26" s="9" t="n">
        <x:v>0.024550561026212857</x:v>
      </x:c>
      <x:c r="F26" s="9" t="n">
        <x:v>0.03866023969411783</x:v>
      </x:c>
      <x:c r="G26" s="9" t="n">
        <x:v>0.01728938479649663</x:v>
      </x:c>
      <x:c r="H26" s="9" t="str">
        <x:v>inconclusive</x:v>
      </x:c>
      <x:c r="I26" s="9" t="str">
        <x:v>S001</x:v>
      </x:c>
      <x:c r="J26" s="9" t="str">
        <x:v>S002</x:v>
      </x:c>
    </x:row>
    <x:row r="30" ht="44" customHeight="1">
      <x:c r="A30" s="8" t="str">
        <x:v>Bras</x:v>
      </x:c>
      <x:c r="B30" s="8" t="str">
        <x:v>AUC moyenne</x:v>
      </x:c>
      <x:c r="C30" s="8" t="str">
        <x:v>AUC médiane</x:v>
      </x:c>
      <x:c r="D30" s="8" t="str">
        <x:v>Contribution AUC t≤8</x:v>
      </x:c>
      <x:c r="E30" s="8" t="str">
        <x:v>Part AUC t≤8</x:v>
      </x:c>
      <x:c r="F30" s="8" t="str">
        <x:v>Source</x:v>
      </x:c>
    </x:row>
    <x:row r="31" ht="22" customHeight="1">
      <x:c r="A31" s="5" t="str">
        <x:v>A0</x:v>
      </x:c>
      <x:c r="B31" s="5" t="n">
        <x:f>AVERAGEIF(B6:B20,A31,C6:C20)</x:f>
        <x:v>0.13957887933579458</x:v>
      </x:c>
      <x:c r="C31" s="5" t="n">
        <x:f>MEDIAN(C6,C9,C12,C15,C18)</x:f>
        <x:v>0.13327980962129563</x:v>
      </x:c>
      <x:c r="D31" s="5" t="n">
        <x:v>0.10558310392556008</x:v>
      </x:c>
      <x:c r="E31" s="12" t="n">
        <x:f>D31/B31</x:f>
        <x:v>0.756440404364843</x:v>
      </x:c>
      <x:c r="F31" s="5" t="str">
        <x:v>S002</x:v>
      </x:c>
    </x:row>
    <x:row r="32" ht="22" customHeight="1">
      <x:c r="A32" s="9" t="str">
        <x:v>A1</x:v>
      </x:c>
      <x:c r="B32" s="9" t="n">
        <x:f>AVERAGEIF(B6:B20,A32,C6:C20)</x:f>
        <x:v>0.12174812165800093</x:v>
      </x:c>
      <x:c r="C32" s="9" t="n">
        <x:f>MEDIAN(C7,C10,C13,C16,C19)</x:f>
        <x:v>0.1266870687629585</x:v>
      </x:c>
      <x:c r="D32" s="9" t="n">
        <x:v>0.09755931495445887</x:v>
      </x:c>
      <x:c r="E32" s="13" t="n">
        <x:f>D32/B32</x:f>
        <x:v>0.8013209043874194</x:v>
      </x:c>
      <x:c r="F32" s="9" t="str">
        <x:v>S002</x:v>
      </x:c>
    </x:row>
    <x:row r="33" ht="22" customHeight="1">
      <x:c r="A33" s="5" t="str">
        <x:v>A2</x:v>
      </x:c>
      <x:c r="B33" s="5" t="n">
        <x:f>AVERAGEIF(B6:B20,A33,C6:C20)</x:f>
        <x:v>0.11668035314968032</x:v>
      </x:c>
      <x:c r="C33" s="5" t="n">
        <x:f>MEDIAN(C8,C11,C14,C17,C20)</x:f>
        <x:v>0.120231506654072</x:v>
      </x:c>
      <x:c r="D33" s="5" t="n">
        <x:v>0.09360967481593405</x:v>
      </x:c>
      <x:c r="E33" s="12" t="n">
        <x:f>D33/B33</x:f>
        <x:v>0.8022745242795875</x:v>
      </x:c>
      <x:c r="F33" s="5" t="str">
        <x:v>S002</x:v>
      </x:c>
    </x:row>
  </x:sheetData>
  <x:pageMargins left="0.7" right="0.7" top="0.75" bottom="0.75" header="0.3" footer="0.3"/>
  <x:tableParts count="3">
    <x:tablePart xmlns:r="http://schemas.openxmlformats.org/officeDocument/2006/relationships" r:id="R2eab238ab7a54985"/>
    <x:tablePart xmlns:r="http://schemas.openxmlformats.org/officeDocument/2006/relationships" r:id="R543f5cea0e324bb7"/>
    <x:tablePart xmlns:r="http://schemas.openxmlformats.org/officeDocument/2006/relationships" r:id="R6ec595812ae24f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72" hidden="0" customWidth="1"/>
    <x:col min="14" max="14" width="15" hidden="0" customWidth="1"/>
  </x:cols>
  <x:sheetData>
    <x:row r="1" ht="29" customHeight="1">
      <x:c r="A1" s="1" t="str">
        <x:v>EXP-15 : toutes les propositions</x:v>
      </x:c>
    </x:row>
    <x:row r="2" ht="21" customHeight="1">
      <x:c r="A2" s="2" t="str">
        <x:v>80 réponses conservées. L’invalidité, les fins length et les copies restent présentes.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Seed externe</x:v>
      </x:c>
      <x:c r="B5" s="8" t="str">
        <x:v>Bras</x:v>
      </x:c>
      <x:c r="C5" s="8" t="str">
        <x:v>Slot</x:v>
      </x:c>
      <x:c r="D5" s="8" t="str">
        <x:v>Éligible</x:v>
      </x:c>
      <x:c r="E5" s="8" t="str">
        <x:v>Statut source</x:v>
      </x:c>
      <x:c r="F5" s="8" t="str">
        <x:v>Fin</x:v>
      </x:c>
      <x:c r="G5" s="8" t="str">
        <x:v>Fournisseur</x:v>
      </x:c>
      <x:c r="H5" s="8" t="str">
        <x:v>Tokens prompt</x:v>
      </x:c>
      <x:c r="I5" s="8" t="str">
        <x:v>Tokens complétion</x:v>
      </x:c>
      <x:c r="J5" s="8" t="str">
        <x:v>Tokens raisonnement</x:v>
      </x:c>
      <x:c r="K5" s="8" t="str">
        <x:v>Coût USD</x:v>
      </x:c>
      <x:c r="L5" s="8" t="str">
        <x:v>Octets source</x:v>
      </x:c>
      <x:c r="M5" s="8" t="str">
        <x:v>SHA-256 source</x:v>
      </x:c>
      <x:c r="N5" s="8" t="str">
        <x:v>Source</x:v>
      </x:c>
    </x:row>
    <x:row r="6" ht="22" customHeight="1">
      <x:c r="A6" s="10" t="n">
        <x:v>11</x:v>
      </x:c>
      <x:c r="B6" s="5" t="str">
        <x:v>A1</x:v>
      </x:c>
      <x:c r="C6" s="10" t="n">
        <x:v>0</x:v>
      </x:c>
      <x:c r="D6" s="10" t="n">
        <x:v>0</x:v>
      </x:c>
      <x:c r="E6" s="5" t="str">
        <x:v>missing_source</x:v>
      </x:c>
      <x:c r="F6" s="5" t="str">
        <x:v>length</x:v>
      </x:c>
      <x:c r="G6" s="5" t="str">
        <x:v>DigitalOcean</x:v>
      </x:c>
      <x:c r="H6" s="14" t="n">
        <x:v>512</x:v>
      </x:c>
      <x:c r="I6" s="14" t="n">
        <x:v>8000</x:v>
      </x:c>
      <x:c r="J6" s="14" t="n">
        <x:v>8000</x:v>
      </x:c>
      <x:c r="K6" s="16" t="n">
        <x:v>0.002042930176</x:v>
      </x:c>
      <x:c r="L6" s="14" t="n">
        <x:v>0</x:v>
      </x:c>
      <x:c r="M6" s="5" t="str">
        <x:v>e3b0c44298fc1c149afbf4c8996fb92427ae41e4649b934ca495991b7852b855</x:v>
      </x:c>
      <x:c r="N6" s="5" t="str">
        <x:v>S002</x:v>
      </x:c>
    </x:row>
    <x:row r="7" ht="22" customHeight="1">
      <x:c r="A7" s="11" t="n">
        <x:v>11</x:v>
      </x:c>
      <x:c r="B7" s="9" t="str">
        <x:v>A1</x:v>
      </x:c>
      <x:c r="C7" s="11" t="n">
        <x:v>1</x:v>
      </x:c>
      <x:c r="D7" s="11" t="n">
        <x:v>1</x:v>
      </x:c>
      <x:c r="E7" s="9" t="str">
        <x:v>valid</x:v>
      </x:c>
      <x:c r="F7" s="9" t="str">
        <x:v>stop</x:v>
      </x:c>
      <x:c r="G7" s="9" t="str">
        <x:v>Parasail</x:v>
      </x:c>
      <x:c r="H7" s="15" t="n">
        <x:v>433</x:v>
      </x:c>
      <x:c r="I7" s="15" t="n">
        <x:v>4879</x:v>
      </x:c>
      <x:c r="J7" s="15" t="n">
        <x:v>3752</x:v>
      </x:c>
      <x:c r="K7" s="17" t="n">
        <x:v>0.00142674</x:v>
      </x:c>
      <x:c r="L7" s="15" t="n">
        <x:v>4700</x:v>
      </x:c>
      <x:c r="M7" s="9" t="str">
        <x:v>f01e1ada131fc2361d2b65543173dd0d26f4f7ad8999daa2b90db678872a5125</x:v>
      </x:c>
      <x:c r="N7" s="9" t="str">
        <x:v>S002</x:v>
      </x:c>
    </x:row>
    <x:row r="8" ht="22" customHeight="1">
      <x:c r="A8" s="10" t="n">
        <x:v>11</x:v>
      </x:c>
      <x:c r="B8" s="5" t="str">
        <x:v>A1</x:v>
      </x:c>
      <x:c r="C8" s="10" t="n">
        <x:v>2</x:v>
      </x:c>
      <x:c r="D8" s="10" t="n">
        <x:v>1</x:v>
      </x:c>
      <x:c r="E8" s="5" t="str">
        <x:v>valid</x:v>
      </x:c>
      <x:c r="F8" s="5" t="str">
        <x:v>stop</x:v>
      </x:c>
      <x:c r="G8" s="5" t="str">
        <x:v>OpenInference</x:v>
      </x:c>
      <x:c r="H8" s="14" t="n">
        <x:v>433</x:v>
      </x:c>
      <x:c r="I8" s="14" t="n">
        <x:v>3930</x:v>
      </x:c>
      <x:c r="J8" s="14" t="n">
        <x:v>2764</x:v>
      </x:c>
      <x:c r="K8" s="16" t="n">
        <x:v>0.00065045</x:v>
      </x:c>
      <x:c r="L8" s="14" t="n">
        <x:v>3890</x:v>
      </x:c>
      <x:c r="M8" s="5" t="str">
        <x:v>2c03ea11456fc517a3a2981e4c08bb6777547d3c1e7b6d65246d42e546ce66df</x:v>
      </x:c>
      <x:c r="N8" s="5" t="str">
        <x:v>S002</x:v>
      </x:c>
    </x:row>
    <x:row r="9" ht="22" customHeight="1">
      <x:c r="A9" s="11" t="n">
        <x:v>11</x:v>
      </x:c>
      <x:c r="B9" s="9" t="str">
        <x:v>A1</x:v>
      </x:c>
      <x:c r="C9" s="11" t="n">
        <x:v>3</x:v>
      </x:c>
      <x:c r="D9" s="11" t="n">
        <x:v>1</x:v>
      </x:c>
      <x:c r="E9" s="9" t="str">
        <x:v>valid</x:v>
      </x:c>
      <x:c r="F9" s="9" t="str">
        <x:v>stop</x:v>
      </x:c>
      <x:c r="G9" s="9" t="str">
        <x:v>OpenInference</x:v>
      </x:c>
      <x:c r="H9" s="15" t="n">
        <x:v>433</x:v>
      </x:c>
      <x:c r="I9" s="15" t="n">
        <x:v>2943</x:v>
      </x:c>
      <x:c r="J9" s="15" t="n">
        <x:v>2621</x:v>
      </x:c>
      <x:c r="K9" s="17" t="n">
        <x:v>0.00049253</x:v>
      </x:c>
      <x:c r="L9" s="15" t="n">
        <x:v>1012</x:v>
      </x:c>
      <x:c r="M9" s="9" t="str">
        <x:v>f0f3b980daab42d05f7dbf3e51dd6d85c40f03a5e5d14f83e8b23aad27a5097f</x:v>
      </x:c>
      <x:c r="N9" s="9" t="str">
        <x:v>S002</x:v>
      </x:c>
    </x:row>
    <x:row r="10" ht="22" customHeight="1">
      <x:c r="A10" s="10" t="n">
        <x:v>11</x:v>
      </x:c>
      <x:c r="B10" s="5" t="str">
        <x:v>A1</x:v>
      </x:c>
      <x:c r="C10" s="10" t="n">
        <x:v>4</x:v>
      </x:c>
      <x:c r="D10" s="10" t="n">
        <x:v>0</x:v>
      </x:c>
      <x:c r="E10" s="5" t="str">
        <x:v>missing_source</x:v>
      </x:c>
      <x:c r="F10" s="5" t="str">
        <x:v>length</x:v>
      </x:c>
      <x:c r="G10" s="5" t="str">
        <x:v>CoreWeave</x:v>
      </x:c>
      <x:c r="H10" s="14" t="n">
        <x:v>433</x:v>
      </x:c>
      <x:c r="I10" s="14" t="n">
        <x:v>8000</x:v>
      </x:c>
      <x:c r="J10" s="14" t="n">
        <x:v>7741</x:v>
      </x:c>
      <x:c r="K10" s="16" t="n">
        <x:v>0.00229629</x:v>
      </x:c>
      <x:c r="L10" s="14" t="n">
        <x:v>0</x:v>
      </x:c>
      <x:c r="M10" s="5" t="str">
        <x:v>e3b0c44298fc1c149afbf4c8996fb92427ae41e4649b934ca495991b7852b855</x:v>
      </x:c>
      <x:c r="N10" s="5" t="str">
        <x:v>S002</x:v>
      </x:c>
    </x:row>
    <x:row r="11" ht="22" customHeight="1">
      <x:c r="A11" s="11" t="n">
        <x:v>11</x:v>
      </x:c>
      <x:c r="B11" s="9" t="str">
        <x:v>A1</x:v>
      </x:c>
      <x:c r="C11" s="11" t="n">
        <x:v>5</x:v>
      </x:c>
      <x:c r="D11" s="11" t="n">
        <x:v>1</x:v>
      </x:c>
      <x:c r="E11" s="9" t="str">
        <x:v>valid</x:v>
      </x:c>
      <x:c r="F11" s="9" t="str">
        <x:v>stop</x:v>
      </x:c>
      <x:c r="G11" s="9" t="str">
        <x:v>DeepInfra</x:v>
      </x:c>
      <x:c r="H11" s="15" t="n">
        <x:v>433</x:v>
      </x:c>
      <x:c r="I11" s="15" t="n">
        <x:v>6300</x:v>
      </x:c>
      <x:c r="J11" s="15" t="n">
        <x:v>4770</x:v>
      </x:c>
      <x:c r="K11" s="17" t="n">
        <x:v>0.00115998</x:v>
      </x:c>
      <x:c r="L11" s="15" t="n">
        <x:v>5351</x:v>
      </x:c>
      <x:c r="M11" s="9" t="str">
        <x:v>c9420c3ccaf9806ea7ed34281c177d8c0c1d4ecc2ec72df26f0d0ec41fdd20f8</x:v>
      </x:c>
      <x:c r="N11" s="9" t="str">
        <x:v>S002</x:v>
      </x:c>
    </x:row>
    <x:row r="12" ht="22" customHeight="1">
      <x:c r="A12" s="10" t="n">
        <x:v>11</x:v>
      </x:c>
      <x:c r="B12" s="5" t="str">
        <x:v>A1</x:v>
      </x:c>
      <x:c r="C12" s="10" t="n">
        <x:v>6</x:v>
      </x:c>
      <x:c r="D12" s="10" t="n">
        <x:v>0</x:v>
      </x:c>
      <x:c r="E12" s="5" t="str">
        <x:v>missing_source</x:v>
      </x:c>
      <x:c r="F12" s="5" t="str">
        <x:v>length</x:v>
      </x:c>
      <x:c r="G12" s="5" t="str">
        <x:v>DigitalOcean</x:v>
      </x:c>
      <x:c r="H12" s="14" t="n">
        <x:v>512</x:v>
      </x:c>
      <x:c r="I12" s="14" t="n">
        <x:v>8000</x:v>
      </x:c>
      <x:c r="J12" s="14" t="n">
        <x:v>8000</x:v>
      </x:c>
      <x:c r="K12" s="16" t="n">
        <x:v>0.002028957196</x:v>
      </x:c>
      <x:c r="L12" s="14" t="n">
        <x:v>0</x:v>
      </x:c>
      <x:c r="M12" s="5" t="str">
        <x:v>e3b0c44298fc1c149afbf4c8996fb92427ae41e4649b934ca495991b7852b855</x:v>
      </x:c>
      <x:c r="N12" s="5" t="str">
        <x:v>S002</x:v>
      </x:c>
    </x:row>
    <x:row r="13" ht="22" customHeight="1">
      <x:c r="A13" s="11" t="n">
        <x:v>11</x:v>
      </x:c>
      <x:c r="B13" s="9" t="str">
        <x:v>A1</x:v>
      </x:c>
      <x:c r="C13" s="11" t="n">
        <x:v>7</x:v>
      </x:c>
      <x:c r="D13" s="11" t="n">
        <x:v>0</x:v>
      </x:c>
      <x:c r="E13" s="9" t="str">
        <x:v>missing_source</x:v>
      </x:c>
      <x:c r="F13" s="9" t="str">
        <x:v>length</x:v>
      </x:c>
      <x:c r="G13" s="9" t="str">
        <x:v>DigitalOcean</x:v>
      </x:c>
      <x:c r="H13" s="15" t="n">
        <x:v>512</x:v>
      </x:c>
      <x:c r="I13" s="15" t="n">
        <x:v>8000</x:v>
      </x:c>
      <x:c r="J13" s="15" t="n">
        <x:v>7999</x:v>
      </x:c>
      <x:c r="K13" s="17" t="n">
        <x:v>0.002056957952</x:v>
      </x:c>
      <x:c r="L13" s="15" t="n">
        <x:v>0</x:v>
      </x:c>
      <x:c r="M13" s="9" t="str">
        <x:v>e3b0c44298fc1c149afbf4c8996fb92427ae41e4649b934ca495991b7852b855</x:v>
      </x:c>
      <x:c r="N13" s="9" t="str">
        <x:v>S002</x:v>
      </x:c>
    </x:row>
    <x:row r="14" ht="22" customHeight="1">
      <x:c r="A14" s="10" t="n">
        <x:v>11</x:v>
      </x:c>
      <x:c r="B14" s="5" t="str">
        <x:v>A2</x:v>
      </x:c>
      <x:c r="C14" s="10" t="n">
        <x:v>0</x:v>
      </x:c>
      <x:c r="D14" s="10" t="n">
        <x:v>0</x:v>
      </x:c>
      <x:c r="E14" s="5" t="str">
        <x:v>missing_source</x:v>
      </x:c>
      <x:c r="F14" s="5" t="str">
        <x:v>length</x:v>
      </x:c>
      <x:c r="G14" s="5" t="str">
        <x:v>DigitalOcean</x:v>
      </x:c>
      <x:c r="H14" s="14" t="n">
        <x:v>1972</x:v>
      </x:c>
      <x:c r="I14" s="14" t="n">
        <x:v>8000</x:v>
      </x:c>
      <x:c r="J14" s="14" t="n">
        <x:v>8000</x:v>
      </x:c>
      <x:c r="K14" s="16" t="n">
        <x:v>0.002173752112</x:v>
      </x:c>
      <x:c r="L14" s="14" t="n">
        <x:v>0</x:v>
      </x:c>
      <x:c r="M14" s="5" t="str">
        <x:v>e3b0c44298fc1c149afbf4c8996fb92427ae41e4649b934ca495991b7852b855</x:v>
      </x:c>
      <x:c r="N14" s="5" t="str">
        <x:v>S002</x:v>
      </x:c>
    </x:row>
    <x:row r="15" ht="22" customHeight="1">
      <x:c r="A15" s="11" t="n">
        <x:v>11</x:v>
      </x:c>
      <x:c r="B15" s="9" t="str">
        <x:v>A2</x:v>
      </x:c>
      <x:c r="C15" s="11" t="n">
        <x:v>1</x:v>
      </x:c>
      <x:c r="D15" s="11" t="n">
        <x:v>1</x:v>
      </x:c>
      <x:c r="E15" s="9" t="str">
        <x:v>valid</x:v>
      </x:c>
      <x:c r="F15" s="9" t="str">
        <x:v>stop</x:v>
      </x:c>
      <x:c r="G15" s="9" t="str">
        <x:v>Wafer</x:v>
      </x:c>
      <x:c r="H15" s="15" t="n">
        <x:v>2058</x:v>
      </x:c>
      <x:c r="I15" s="15" t="n">
        <x:v>6692</x:v>
      </x:c>
      <x:c r="J15" s="15" t="n">
        <x:v>5901</x:v>
      </x:c>
      <x:c r="K15" s="17" t="n">
        <x:v>0.0018788</x:v>
      </x:c>
      <x:c r="L15" s="15" t="n">
        <x:v>2789</x:v>
      </x:c>
      <x:c r="M15" s="9" t="str">
        <x:v>1164ad471c810285a4769600ffa627c97aa56fc969fc71318bd6d2980a912e65</x:v>
      </x:c>
      <x:c r="N15" s="9" t="str">
        <x:v>S002</x:v>
      </x:c>
    </x:row>
    <x:row r="16" ht="22" customHeight="1">
      <x:c r="A16" s="10" t="n">
        <x:v>11</x:v>
      </x:c>
      <x:c r="B16" s="5" t="str">
        <x:v>A2</x:v>
      </x:c>
      <x:c r="C16" s="10" t="n">
        <x:v>2</x:v>
      </x:c>
      <x:c r="D16" s="10" t="n">
        <x:v>1</x:v>
      </x:c>
      <x:c r="E16" s="5" t="str">
        <x:v>valid</x:v>
      </x:c>
      <x:c r="F16" s="5" t="str">
        <x:v>stop</x:v>
      </x:c>
      <x:c r="G16" s="5" t="str">
        <x:v>OpenInference</x:v>
      </x:c>
      <x:c r="H16" s="14" t="n">
        <x:v>3829</x:v>
      </x:c>
      <x:c r="I16" s="14" t="n">
        <x:v>3519</x:v>
      </x:c>
      <x:c r="J16" s="14" t="n">
        <x:v>3001</x:v>
      </x:c>
      <x:c r="K16" s="16" t="n">
        <x:v>0.00075449</x:v>
      </x:c>
      <x:c r="L16" s="14" t="n">
        <x:v>1611</x:v>
      </x:c>
      <x:c r="M16" s="5" t="str">
        <x:v>1fc516e6428783de4acca1e192c053e33f837a8b344801ac41d196d1a0bdd8c4</x:v>
      </x:c>
      <x:c r="N16" s="5" t="str">
        <x:v>S002</x:v>
      </x:c>
    </x:row>
    <x:row r="17" ht="22" customHeight="1">
      <x:c r="A17" s="11" t="n">
        <x:v>11</x:v>
      </x:c>
      <x:c r="B17" s="9" t="str">
        <x:v>A2</x:v>
      </x:c>
      <x:c r="C17" s="11" t="n">
        <x:v>3</x:v>
      </x:c>
      <x:c r="D17" s="11" t="n">
        <x:v>1</x:v>
      </x:c>
      <x:c r="E17" s="9" t="str">
        <x:v>valid</x:v>
      </x:c>
      <x:c r="F17" s="9" t="str">
        <x:v>stop</x:v>
      </x:c>
      <x:c r="G17" s="9" t="str">
        <x:v>Sail Research</x:v>
      </x:c>
      <x:c r="H17" s="15" t="n">
        <x:v>3507</x:v>
      </x:c>
      <x:c r="I17" s="15" t="n">
        <x:v>2036</x:v>
      </x:c>
      <x:c r="J17" s="15" t="n">
        <x:v>1561</x:v>
      </x:c>
      <x:c r="K17" s="17" t="n">
        <x:v>0.000594435</x:v>
      </x:c>
      <x:c r="L17" s="15" t="n">
        <x:v>1757</x:v>
      </x:c>
      <x:c r="M17" s="9" t="str">
        <x:v>059d160ce3a738594a7614d621a679ad9db5b7ee6af764dda3c0415368920b58</x:v>
      </x:c>
      <x:c r="N17" s="9" t="str">
        <x:v>S002</x:v>
      </x:c>
    </x:row>
    <x:row r="18" ht="22" customHeight="1">
      <x:c r="A18" s="10" t="n">
        <x:v>11</x:v>
      </x:c>
      <x:c r="B18" s="5" t="str">
        <x:v>A2</x:v>
      </x:c>
      <x:c r="C18" s="10" t="n">
        <x:v>4</x:v>
      </x:c>
      <x:c r="D18" s="10" t="n">
        <x:v>0</x:v>
      </x:c>
      <x:c r="E18" s="5" t="str">
        <x:v>missing_source</x:v>
      </x:c>
      <x:c r="F18" s="5" t="str">
        <x:v>length</x:v>
      </x:c>
      <x:c r="G18" s="5" t="str">
        <x:v>OpenInference</x:v>
      </x:c>
      <x:c r="H18" s="14" t="n">
        <x:v>3516</x:v>
      </x:c>
      <x:c r="I18" s="14" t="n">
        <x:v>8000</x:v>
      </x:c>
      <x:c r="J18" s="14" t="n">
        <x:v>8000</x:v>
      </x:c>
      <x:c r="K18" s="16" t="n">
        <x:v>0.0014558</x:v>
      </x:c>
      <x:c r="L18" s="14" t="n">
        <x:v>0</x:v>
      </x:c>
      <x:c r="M18" s="5" t="str">
        <x:v>e3b0c44298fc1c149afbf4c8996fb92427ae41e4649b934ca495991b7852b855</x:v>
      </x:c>
      <x:c r="N18" s="5" t="str">
        <x:v>S002</x:v>
      </x:c>
    </x:row>
    <x:row r="19" ht="22" customHeight="1">
      <x:c r="A19" s="11" t="n">
        <x:v>11</x:v>
      </x:c>
      <x:c r="B19" s="9" t="str">
        <x:v>A2</x:v>
      </x:c>
      <x:c r="C19" s="11" t="n">
        <x:v>5</x:v>
      </x:c>
      <x:c r="D19" s="11" t="n">
        <x:v>1</x:v>
      </x:c>
      <x:c r="E19" s="9" t="str">
        <x:v>valid</x:v>
      </x:c>
      <x:c r="F19" s="9" t="str">
        <x:v>stop</x:v>
      </x:c>
      <x:c r="G19" s="9" t="str">
        <x:v>Reka</x:v>
      </x:c>
      <x:c r="H19" s="15" t="n">
        <x:v>2403</x:v>
      </x:c>
      <x:c r="I19" s="15" t="n">
        <x:v>5151</x:v>
      </x:c>
      <x:c r="J19" s="15" t="n">
        <x:v>4262</x:v>
      </x:c>
      <x:c r="K19" s="17" t="n">
        <x:v>0.00366399</x:v>
      </x:c>
      <x:c r="L19" s="15" t="n">
        <x:v>2314</x:v>
      </x:c>
      <x:c r="M19" s="9" t="str">
        <x:v>439e018dac232127978adea7b5e0deb7b79153adc4f1e07cffde0bfdf54e946f</x:v>
      </x:c>
      <x:c r="N19" s="9" t="str">
        <x:v>S002</x:v>
      </x:c>
    </x:row>
    <x:row r="20" ht="22" customHeight="1">
      <x:c r="A20" s="10" t="n">
        <x:v>11</x:v>
      </x:c>
      <x:c r="B20" s="5" t="str">
        <x:v>A2</x:v>
      </x:c>
      <x:c r="C20" s="10" t="n">
        <x:v>6</x:v>
      </x:c>
      <x:c r="D20" s="10" t="n">
        <x:v>1</x:v>
      </x:c>
      <x:c r="E20" s="5" t="str">
        <x:v>valid</x:v>
      </x:c>
      <x:c r="F20" s="5" t="str">
        <x:v>stop</x:v>
      </x:c>
      <x:c r="G20" s="5" t="str">
        <x:v>Relace</x:v>
      </x:c>
      <x:c r="H20" s="14" t="n">
        <x:v>3505</x:v>
      </x:c>
      <x:c r="I20" s="14" t="n">
        <x:v>4562</x:v>
      </x:c>
      <x:c r="J20" s="14" t="n">
        <x:v>3975</x:v>
      </x:c>
      <x:c r="K20" s="16" t="n">
        <x:v>0.001048985</x:v>
      </x:c>
      <x:c r="L20" s="14" t="n">
        <x:v>1923</x:v>
      </x:c>
      <x:c r="M20" s="5" t="str">
        <x:v>6463e329dbde4ed42f94d45b4657203b8b06e17c35de04919e372b7a532ba26b</x:v>
      </x:c>
      <x:c r="N20" s="5" t="str">
        <x:v>S002</x:v>
      </x:c>
    </x:row>
    <x:row r="21" ht="22" customHeight="1">
      <x:c r="A21" s="11" t="n">
        <x:v>11</x:v>
      </x:c>
      <x:c r="B21" s="9" t="str">
        <x:v>A2</x:v>
      </x:c>
      <x:c r="C21" s="11" t="n">
        <x:v>7</x:v>
      </x:c>
      <x:c r="D21" s="11" t="n">
        <x:v>1</x:v>
      </x:c>
      <x:c r="E21" s="9" t="str">
        <x:v>valid</x:v>
      </x:c>
      <x:c r="F21" s="9" t="str">
        <x:v>stop</x:v>
      </x:c>
      <x:c r="G21" s="9" t="str">
        <x:v>OpenInference</x:v>
      </x:c>
      <x:c r="H21" s="15" t="n">
        <x:v>3516</x:v>
      </x:c>
      <x:c r="I21" s="15" t="n">
        <x:v>2943</x:v>
      </x:c>
      <x:c r="J21" s="15" t="n">
        <x:v>2215</x:v>
      </x:c>
      <x:c r="K21" s="17" t="n">
        <x:v>0.00064668</x:v>
      </x:c>
      <x:c r="L21" s="15" t="n">
        <x:v>2439</x:v>
      </x:c>
      <x:c r="M21" s="9" t="str">
        <x:v>9cd4739529932a52fe889fd221ece16122da712489130aef0c3bbf3c0f3c959f</x:v>
      </x:c>
      <x:c r="N21" s="9" t="str">
        <x:v>S002</x:v>
      </x:c>
    </x:row>
    <x:row r="22" ht="22" customHeight="1">
      <x:c r="A22" s="10" t="n">
        <x:v>23</x:v>
      </x:c>
      <x:c r="B22" s="5" t="str">
        <x:v>A1</x:v>
      </x:c>
      <x:c r="C22" s="10" t="n">
        <x:v>0</x:v>
      </x:c>
      <x:c r="D22" s="10" t="n">
        <x:v>1</x:v>
      </x:c>
      <x:c r="E22" s="5" t="str">
        <x:v>valid</x:v>
      </x:c>
      <x:c r="F22" s="5" t="str">
        <x:v>stop</x:v>
      </x:c>
      <x:c r="G22" s="5" t="str">
        <x:v>Sail Research</x:v>
      </x:c>
      <x:c r="H22" s="14" t="n">
        <x:v>433</x:v>
      </x:c>
      <x:c r="I22" s="14" t="n">
        <x:v>2472</x:v>
      </x:c>
      <x:c r="J22" s="14" t="n">
        <x:v>1761</x:v>
      </x:c>
      <x:c r="K22" s="16" t="n">
        <x:v>0.000461585</x:v>
      </x:c>
      <x:c r="L22" s="14" t="n">
        <x:v>2381</x:v>
      </x:c>
      <x:c r="M22" s="5" t="str">
        <x:v>16ef09afd7487ef0b0b4194e7f20f6b6e58f2c35919a29d922b1661f214082ba</x:v>
      </x:c>
      <x:c r="N22" s="5" t="str">
        <x:v>S002</x:v>
      </x:c>
    </x:row>
    <x:row r="23" ht="22" customHeight="1">
      <x:c r="A23" s="11" t="n">
        <x:v>23</x:v>
      </x:c>
      <x:c r="B23" s="9" t="str">
        <x:v>A1</x:v>
      </x:c>
      <x:c r="C23" s="11" t="n">
        <x:v>1</x:v>
      </x:c>
      <x:c r="D23" s="11" t="n">
        <x:v>1</x:v>
      </x:c>
      <x:c r="E23" s="9" t="str">
        <x:v>valid</x:v>
      </x:c>
      <x:c r="F23" s="9" t="str">
        <x:v>stop</x:v>
      </x:c>
      <x:c r="G23" s="9" t="str">
        <x:v>Sail Research</x:v>
      </x:c>
      <x:c r="H23" s="15" t="n">
        <x:v>433</x:v>
      </x:c>
      <x:c r="I23" s="15" t="n">
        <x:v>386</x:v>
      </x:c>
      <x:c r="J23" s="15" t="n">
        <x:v>212</x:v>
      </x:c>
      <x:c r="K23" s="17" t="n">
        <x:v>0.000078185</x:v>
      </x:c>
      <x:c r="L23" s="15" t="n">
        <x:v>545</x:v>
      </x:c>
      <x:c r="M23" s="9" t="str">
        <x:v>5b74e5a3fe2fc90fcb42a603b058fa7befbf65f38775caa77acd30cdf619b640</x:v>
      </x:c>
      <x:c r="N23" s="9" t="str">
        <x:v>S002</x:v>
      </x:c>
    </x:row>
    <x:row r="24" ht="22" customHeight="1">
      <x:c r="A24" s="10" t="n">
        <x:v>23</x:v>
      </x:c>
      <x:c r="B24" s="5" t="str">
        <x:v>A1</x:v>
      </x:c>
      <x:c r="C24" s="10" t="n">
        <x:v>2</x:v>
      </x:c>
      <x:c r="D24" s="10" t="n">
        <x:v>1</x:v>
      </x:c>
      <x:c r="E24" s="5" t="str">
        <x:v>valid</x:v>
      </x:c>
      <x:c r="F24" s="5" t="str">
        <x:v>stop</x:v>
      </x:c>
      <x:c r="G24" s="5" t="str">
        <x:v>Sail Research</x:v>
      </x:c>
      <x:c r="H24" s="14" t="n">
        <x:v>433</x:v>
      </x:c>
      <x:c r="I24" s="14" t="n">
        <x:v>6475</x:v>
      </x:c>
      <x:c r="J24" s="14" t="n">
        <x:v>5183</x:v>
      </x:c>
      <x:c r="K24" s="16" t="n">
        <x:v>0.001174205</x:v>
      </x:c>
      <x:c r="L24" s="14" t="n">
        <x:v>3968</x:v>
      </x:c>
      <x:c r="M24" s="5" t="str">
        <x:v>bcdfadcbb14363b9def118dee3cd3d2445a5efbd52d72e914e998882d239bd56</x:v>
      </x:c>
      <x:c r="N24" s="5" t="str">
        <x:v>S002</x:v>
      </x:c>
    </x:row>
    <x:row r="25" ht="22" customHeight="1">
      <x:c r="A25" s="11" t="n">
        <x:v>23</x:v>
      </x:c>
      <x:c r="B25" s="9" t="str">
        <x:v>A1</x:v>
      </x:c>
      <x:c r="C25" s="11" t="n">
        <x:v>3</x:v>
      </x:c>
      <x:c r="D25" s="11" t="n">
        <x:v>0</x:v>
      </x:c>
      <x:c r="E25" s="9" t="str">
        <x:v>missing_source</x:v>
      </x:c>
      <x:c r="F25" s="9" t="str">
        <x:v>length</x:v>
      </x:c>
      <x:c r="G25" s="9" t="str">
        <x:v>Sail Research</x:v>
      </x:c>
      <x:c r="H25" s="15" t="n">
        <x:v>433</x:v>
      </x:c>
      <x:c r="I25" s="15" t="n">
        <x:v>8000</x:v>
      </x:c>
      <x:c r="J25" s="15" t="n">
        <x:v>8000</x:v>
      </x:c>
      <x:c r="K25" s="17" t="n">
        <x:v>0.001448705</x:v>
      </x:c>
      <x:c r="L25" s="15" t="n">
        <x:v>0</x:v>
      </x:c>
      <x:c r="M25" s="9" t="str">
        <x:v>e3b0c44298fc1c149afbf4c8996fb92427ae41e4649b934ca495991b7852b855</x:v>
      </x:c>
      <x:c r="N25" s="9" t="str">
        <x:v>S002</x:v>
      </x:c>
    </x:row>
    <x:row r="26" ht="22" customHeight="1">
      <x:c r="A26" s="10" t="n">
        <x:v>23</x:v>
      </x:c>
      <x:c r="B26" s="5" t="str">
        <x:v>A1</x:v>
      </x:c>
      <x:c r="C26" s="10" t="n">
        <x:v>4</x:v>
      </x:c>
      <x:c r="D26" s="10" t="n">
        <x:v>1</x:v>
      </x:c>
      <x:c r="E26" s="5" t="str">
        <x:v>valid</x:v>
      </x:c>
      <x:c r="F26" s="5" t="str">
        <x:v>stop</x:v>
      </x:c>
      <x:c r="G26" s="5" t="str">
        <x:v>Sail Research</x:v>
      </x:c>
      <x:c r="H26" s="14" t="n">
        <x:v>433</x:v>
      </x:c>
      <x:c r="I26" s="14" t="n">
        <x:v>6814</x:v>
      </x:c>
      <x:c r="J26" s="14" t="n">
        <x:v>6285</x:v>
      </x:c>
      <x:c r="K26" s="16" t="n">
        <x:v>0.001235225</x:v>
      </x:c>
      <x:c r="L26" s="14" t="n">
        <x:v>1799</x:v>
      </x:c>
      <x:c r="M26" s="5" t="str">
        <x:v>b22de852e4bae84d019ca03445a17b9152640dd610e6fe8dee81739ee44fcfe4</x:v>
      </x:c>
      <x:c r="N26" s="5" t="str">
        <x:v>S002</x:v>
      </x:c>
    </x:row>
    <x:row r="27" ht="22" customHeight="1">
      <x:c r="A27" s="11" t="n">
        <x:v>23</x:v>
      </x:c>
      <x:c r="B27" s="9" t="str">
        <x:v>A1</x:v>
      </x:c>
      <x:c r="C27" s="11" t="n">
        <x:v>5</x:v>
      </x:c>
      <x:c r="D27" s="11" t="n">
        <x:v>1</x:v>
      </x:c>
      <x:c r="E27" s="9" t="str">
        <x:v>valid</x:v>
      </x:c>
      <x:c r="F27" s="9" t="str">
        <x:v>stop</x:v>
      </x:c>
      <x:c r="G27" s="9" t="str">
        <x:v>Sail Research</x:v>
      </x:c>
      <x:c r="H27" s="15" t="n">
        <x:v>433</x:v>
      </x:c>
      <x:c r="I27" s="15" t="n">
        <x:v>606</x:v>
      </x:c>
      <x:c r="J27" s="15" t="n">
        <x:v>327</x:v>
      </x:c>
      <x:c r="K27" s="17" t="n">
        <x:v>0.000117785</x:v>
      </x:c>
      <x:c r="L27" s="15" t="n">
        <x:v>1016</x:v>
      </x:c>
      <x:c r="M27" s="9" t="str">
        <x:v>8b92cda910d1223cf3e3fac94c4ab6bec1c97c772239f05c192115316ea5a4dd</x:v>
      </x:c>
      <x:c r="N27" s="9" t="str">
        <x:v>S002</x:v>
      </x:c>
    </x:row>
    <x:row r="28" ht="22" customHeight="1">
      <x:c r="A28" s="10" t="n">
        <x:v>23</x:v>
      </x:c>
      <x:c r="B28" s="5" t="str">
        <x:v>A1</x:v>
      </x:c>
      <x:c r="C28" s="10" t="n">
        <x:v>6</x:v>
      </x:c>
      <x:c r="D28" s="10" t="n">
        <x:v>1</x:v>
      </x:c>
      <x:c r="E28" s="5" t="str">
        <x:v>valid</x:v>
      </x:c>
      <x:c r="F28" s="5" t="str">
        <x:v>stop</x:v>
      </x:c>
      <x:c r="G28" s="5" t="str">
        <x:v>Relace</x:v>
      </x:c>
      <x:c r="H28" s="14" t="n">
        <x:v>433</x:v>
      </x:c>
      <x:c r="I28" s="14" t="n">
        <x:v>6556</x:v>
      </x:c>
      <x:c r="J28" s="14" t="n">
        <x:v>5143</x:v>
      </x:c>
      <x:c r="K28" s="16" t="n">
        <x:v>0.001208225</x:v>
      </x:c>
      <x:c r="L28" s="14" t="n">
        <x:v>4225</x:v>
      </x:c>
      <x:c r="M28" s="5" t="str">
        <x:v>b2c0ba553f17d5bc28e5030b22ad12cb6bf336b55300eefed937a7aa19a433b9</x:v>
      </x:c>
      <x:c r="N28" s="5" t="str">
        <x:v>S002</x:v>
      </x:c>
    </x:row>
    <x:row r="29" ht="22" customHeight="1">
      <x:c r="A29" s="11" t="n">
        <x:v>23</x:v>
      </x:c>
      <x:c r="B29" s="9" t="str">
        <x:v>A1</x:v>
      </x:c>
      <x:c r="C29" s="11" t="n">
        <x:v>7</x:v>
      </x:c>
      <x:c r="D29" s="11" t="n">
        <x:v>1</x:v>
      </x:c>
      <x:c r="E29" s="9" t="str">
        <x:v>valid</x:v>
      </x:c>
      <x:c r="F29" s="9" t="str">
        <x:v>stop</x:v>
      </x:c>
      <x:c r="G29" s="9" t="str">
        <x:v>Sail Research</x:v>
      </x:c>
      <x:c r="H29" s="15" t="n">
        <x:v>433</x:v>
      </x:c>
      <x:c r="I29" s="15" t="n">
        <x:v>3158</x:v>
      </x:c>
      <x:c r="J29" s="15" t="n">
        <x:v>2728</x:v>
      </x:c>
      <x:c r="K29" s="17" t="n">
        <x:v>0.000577145</x:v>
      </x:c>
      <x:c r="L29" s="15" t="n">
        <x:v>1488</x:v>
      </x:c>
      <x:c r="M29" s="9" t="str">
        <x:v>5129710cdec2cd554d80b766092f4d4b748a637484897a763b0c7b60572b87c2</x:v>
      </x:c>
      <x:c r="N29" s="9" t="str">
        <x:v>S002</x:v>
      </x:c>
    </x:row>
    <x:row r="30" ht="22" customHeight="1">
      <x:c r="A30" s="10" t="n">
        <x:v>23</x:v>
      </x:c>
      <x:c r="B30" s="5" t="str">
        <x:v>A2</x:v>
      </x:c>
      <x:c r="C30" s="10" t="n">
        <x:v>0</x:v>
      </x:c>
      <x:c r="D30" s="10" t="n">
        <x:v>1</x:v>
      </x:c>
      <x:c r="E30" s="5" t="str">
        <x:v>valid</x:v>
      </x:c>
      <x:c r="F30" s="5" t="str">
        <x:v>stop</x:v>
      </x:c>
      <x:c r="G30" s="5" t="str">
        <x:v>Relace</x:v>
      </x:c>
      <x:c r="H30" s="14" t="n">
        <x:v>1924</x:v>
      </x:c>
      <x:c r="I30" s="14" t="n">
        <x:v>4159</x:v>
      </x:c>
      <x:c r="J30" s="14" t="n">
        <x:v>3954</x:v>
      </x:c>
      <x:c r="K30" s="16" t="n">
        <x:v>0.00087368</x:v>
      </x:c>
      <x:c r="L30" s="14" t="n">
        <x:v>2020</x:v>
      </x:c>
      <x:c r="M30" s="5" t="str">
        <x:v>8c1079d841f13ddc1a6c739447b3bfd94477fbee5daf147f41c30611edae8ded</x:v>
      </x:c>
      <x:c r="N30" s="5" t="str">
        <x:v>S002</x:v>
      </x:c>
    </x:row>
    <x:row r="31" ht="22" customHeight="1">
      <x:c r="A31" s="11" t="n">
        <x:v>23</x:v>
      </x:c>
      <x:c r="B31" s="9" t="str">
        <x:v>A2</x:v>
      </x:c>
      <x:c r="C31" s="11" t="n">
        <x:v>1</x:v>
      </x:c>
      <x:c r="D31" s="11" t="n">
        <x:v>1</x:v>
      </x:c>
      <x:c r="E31" s="9" t="str">
        <x:v>valid</x:v>
      </x:c>
      <x:c r="F31" s="9" t="str">
        <x:v>stop</x:v>
      </x:c>
      <x:c r="G31" s="9" t="str">
        <x:v>OpenInference</x:v>
      </x:c>
      <x:c r="H31" s="15" t="n">
        <x:v>3554</x:v>
      </x:c>
      <x:c r="I31" s="15" t="n">
        <x:v>7040</x:v>
      </x:c>
      <x:c r="J31" s="15" t="n">
        <x:v>6242</x:v>
      </x:c>
      <x:c r="K31" s="17" t="n">
        <x:v>0.0013041</x:v>
      </x:c>
      <x:c r="L31" s="15" t="n">
        <x:v>2728</x:v>
      </x:c>
      <x:c r="M31" s="9" t="str">
        <x:v>9bed7710ddbbc1485f6200fcce6c610109142d43fbf457832e2a8964c5fec67b</x:v>
      </x:c>
      <x:c r="N31" s="9" t="str">
        <x:v>S002</x:v>
      </x:c>
    </x:row>
    <x:row r="32" ht="22" customHeight="1">
      <x:c r="A32" s="10" t="n">
        <x:v>23</x:v>
      </x:c>
      <x:c r="B32" s="5" t="str">
        <x:v>A2</x:v>
      </x:c>
      <x:c r="C32" s="10" t="n">
        <x:v>2</x:v>
      </x:c>
      <x:c r="D32" s="10" t="n">
        <x:v>0</x:v>
      </x:c>
      <x:c r="E32" s="5" t="str">
        <x:v>valid</x:v>
      </x:c>
      <x:c r="F32" s="5" t="str">
        <x:v>stop</x:v>
      </x:c>
      <x:c r="G32" s="5" t="str">
        <x:v>Sail Research</x:v>
      </x:c>
      <x:c r="H32" s="14" t="n">
        <x:v>3855</x:v>
      </x:c>
      <x:c r="I32" s="14" t="n">
        <x:v>4322</x:v>
      </x:c>
      <x:c r="J32" s="14" t="n">
        <x:v>2958</x:v>
      </x:c>
      <x:c r="K32" s="16" t="n">
        <x:v>0.001017015</x:v>
      </x:c>
      <x:c r="L32" s="14" t="n">
        <x:v>4244</x:v>
      </x:c>
      <x:c r="M32" s="5" t="str">
        <x:v>04f57607a05ef3f4f3d4cc5d1cdb11573b382bc378c4db3ea824075279cd642e</x:v>
      </x:c>
      <x:c r="N32" s="5" t="str">
        <x:v>S002</x:v>
      </x:c>
    </x:row>
    <x:row r="33" ht="22" customHeight="1">
      <x:c r="A33" s="11" t="n">
        <x:v>23</x:v>
      </x:c>
      <x:c r="B33" s="9" t="str">
        <x:v>A2</x:v>
      </x:c>
      <x:c r="C33" s="11" t="n">
        <x:v>3</x:v>
      </x:c>
      <x:c r="D33" s="11" t="n">
        <x:v>1</x:v>
      </x:c>
      <x:c r="E33" s="9" t="str">
        <x:v>valid</x:v>
      </x:c>
      <x:c r="F33" s="9" t="str">
        <x:v>stop</x:v>
      </x:c>
      <x:c r="G33" s="9" t="str">
        <x:v>Sail Research</x:v>
      </x:c>
      <x:c r="H33" s="15" t="n">
        <x:v>2735</x:v>
      </x:c>
      <x:c r="I33" s="15" t="n">
        <x:v>2518</x:v>
      </x:c>
      <x:c r="J33" s="15" t="n">
        <x:v>1748</x:v>
      </x:c>
      <x:c r="K33" s="17" t="n">
        <x:v>0.000515815</x:v>
      </x:c>
      <x:c r="L33" s="15" t="n">
        <x:v>2618</x:v>
      </x:c>
      <x:c r="M33" s="9" t="str">
        <x:v>84b4312c6dcc2a9842c7adf28e601549516c6deb790807b5d4c952960e2aa0fd</x:v>
      </x:c>
      <x:c r="N33" s="9" t="str">
        <x:v>S002</x:v>
      </x:c>
    </x:row>
    <x:row r="34" ht="22" customHeight="1">
      <x:c r="A34" s="10" t="n">
        <x:v>23</x:v>
      </x:c>
      <x:c r="B34" s="5" t="str">
        <x:v>A2</x:v>
      </x:c>
      <x:c r="C34" s="10" t="n">
        <x:v>4</x:v>
      </x:c>
      <x:c r="D34" s="10" t="n">
        <x:v>1</x:v>
      </x:c>
      <x:c r="E34" s="5" t="str">
        <x:v>valid</x:v>
      </x:c>
      <x:c r="F34" s="5" t="str">
        <x:v>stop</x:v>
      </x:c>
      <x:c r="G34" s="5" t="str">
        <x:v>Sail Research</x:v>
      </x:c>
      <x:c r="H34" s="14" t="n">
        <x:v>3846</x:v>
      </x:c>
      <x:c r="I34" s="14" t="n">
        <x:v>3026</x:v>
      </x:c>
      <x:c r="J34" s="14" t="n">
        <x:v>2130</x:v>
      </x:c>
      <x:c r="K34" s="16" t="n">
        <x:v>0.00067947</x:v>
      </x:c>
      <x:c r="L34" s="14" t="n">
        <x:v>3045</x:v>
      </x:c>
      <x:c r="M34" s="5" t="str">
        <x:v>5af8592e63aa22294f590f4ab761f961e7d912847dc6e2764ce1a276165bbf7c</x:v>
      </x:c>
      <x:c r="N34" s="5" t="str">
        <x:v>S002</x:v>
      </x:c>
    </x:row>
    <x:row r="35" ht="22" customHeight="1">
      <x:c r="A35" s="11" t="n">
        <x:v>23</x:v>
      </x:c>
      <x:c r="B35" s="9" t="str">
        <x:v>A2</x:v>
      </x:c>
      <x:c r="C35" s="11" t="n">
        <x:v>5</x:v>
      </x:c>
      <x:c r="D35" s="11" t="n">
        <x:v>0</x:v>
      </x:c>
      <x:c r="E35" s="9" t="str">
        <x:v>missing_source</x:v>
      </x:c>
      <x:c r="F35" s="9" t="str">
        <x:v>length</x:v>
      </x:c>
      <x:c r="G35" s="9" t="str">
        <x:v>Sail Research</x:v>
      </x:c>
      <x:c r="H35" s="15" t="n">
        <x:v>3846</x:v>
      </x:c>
      <x:c r="I35" s="15" t="n">
        <x:v>8000</x:v>
      </x:c>
      <x:c r="J35" s="15" t="n">
        <x:v>8000</x:v>
      </x:c>
      <x:c r="K35" s="17" t="n">
        <x:v>0.001516965</x:v>
      </x:c>
      <x:c r="L35" s="15" t="n">
        <x:v>0</x:v>
      </x:c>
      <x:c r="M35" s="9" t="str">
        <x:v>e3b0c44298fc1c149afbf4c8996fb92427ae41e4649b934ca495991b7852b855</x:v>
      </x:c>
      <x:c r="N35" s="9" t="str">
        <x:v>S002</x:v>
      </x:c>
    </x:row>
    <x:row r="36" ht="22" customHeight="1">
      <x:c r="A36" s="10" t="n">
        <x:v>23</x:v>
      </x:c>
      <x:c r="B36" s="5" t="str">
        <x:v>A2</x:v>
      </x:c>
      <x:c r="C36" s="10" t="n">
        <x:v>6</x:v>
      </x:c>
      <x:c r="D36" s="10" t="n">
        <x:v>1</x:v>
      </x:c>
      <x:c r="E36" s="5" t="str">
        <x:v>valid</x:v>
      </x:c>
      <x:c r="F36" s="5" t="str">
        <x:v>stop</x:v>
      </x:c>
      <x:c r="G36" s="5" t="str">
        <x:v>Sail Research</x:v>
      </x:c>
      <x:c r="H36" s="14" t="n">
        <x:v>2717</x:v>
      </x:c>
      <x:c r="I36" s="14" t="n">
        <x:v>5145</x:v>
      </x:c>
      <x:c r="J36" s="14" t="n">
        <x:v>4035</x:v>
      </x:c>
      <x:c r="K36" s="16" t="n">
        <x:v>0.000987505</x:v>
      </x:c>
      <x:c r="L36" s="14" t="n">
        <x:v>3832</x:v>
      </x:c>
      <x:c r="M36" s="5" t="str">
        <x:v>67b1bd2f42ba377d3a9ad9fd5203be901369237c15b54597203f5d6e4a25c821</x:v>
      </x:c>
      <x:c r="N36" s="5" t="str">
        <x:v>S002</x:v>
      </x:c>
    </x:row>
    <x:row r="37" ht="22" customHeight="1">
      <x:c r="A37" s="11" t="n">
        <x:v>23</x:v>
      </x:c>
      <x:c r="B37" s="9" t="str">
        <x:v>A2</x:v>
      </x:c>
      <x:c r="C37" s="11" t="n">
        <x:v>7</x:v>
      </x:c>
      <x:c r="D37" s="11" t="n">
        <x:v>1</x:v>
      </x:c>
      <x:c r="E37" s="9" t="str">
        <x:v>valid</x:v>
      </x:c>
      <x:c r="F37" s="9" t="str">
        <x:v>stop</x:v>
      </x:c>
      <x:c r="G37" s="9" t="str">
        <x:v>Sail Research</x:v>
      </x:c>
      <x:c r="H37" s="15" t="n">
        <x:v>3829</x:v>
      </x:c>
      <x:c r="I37" s="15" t="n">
        <x:v>5557</x:v>
      </x:c>
      <x:c r="J37" s="15" t="n">
        <x:v>3914</x:v>
      </x:c>
      <x:c r="K37" s="17" t="n">
        <x:v>0.001133945</x:v>
      </x:c>
      <x:c r="L37" s="15" t="n">
        <x:v>5287</x:v>
      </x:c>
      <x:c r="M37" s="9" t="str">
        <x:v>ca6a2b481e688ff3fc1b02437ced5824d631223c8a641387d7845f15f47518b5</x:v>
      </x:c>
      <x:c r="N37" s="9" t="str">
        <x:v>S002</x:v>
      </x:c>
    </x:row>
    <x:row r="38" ht="22" customHeight="1">
      <x:c r="A38" s="10" t="n">
        <x:v>37</x:v>
      </x:c>
      <x:c r="B38" s="5" t="str">
        <x:v>A1</x:v>
      </x:c>
      <x:c r="C38" s="10" t="n">
        <x:v>0</x:v>
      </x:c>
      <x:c r="D38" s="10" t="n">
        <x:v>1</x:v>
      </x:c>
      <x:c r="E38" s="5" t="str">
        <x:v>valid</x:v>
      </x:c>
      <x:c r="F38" s="5" t="str">
        <x:v>stop</x:v>
      </x:c>
      <x:c r="G38" s="5" t="str">
        <x:v>Sail Research</x:v>
      </x:c>
      <x:c r="H38" s="14" t="n">
        <x:v>433</x:v>
      </x:c>
      <x:c r="I38" s="14" t="n">
        <x:v>883</x:v>
      </x:c>
      <x:c r="J38" s="14" t="n">
        <x:v>709</x:v>
      </x:c>
      <x:c r="K38" s="16" t="n">
        <x:v>0.000167645</x:v>
      </x:c>
      <x:c r="L38" s="14" t="n">
        <x:v>545</x:v>
      </x:c>
      <x:c r="M38" s="5" t="str">
        <x:v>5b74e5a3fe2fc90fcb42a603b058fa7befbf65f38775caa77acd30cdf619b640</x:v>
      </x:c>
      <x:c r="N38" s="5" t="str">
        <x:v>S002</x:v>
      </x:c>
    </x:row>
    <x:row r="39" ht="22" customHeight="1">
      <x:c r="A39" s="11" t="n">
        <x:v>37</x:v>
      </x:c>
      <x:c r="B39" s="9" t="str">
        <x:v>A1</x:v>
      </x:c>
      <x:c r="C39" s="11" t="n">
        <x:v>1</x:v>
      </x:c>
      <x:c r="D39" s="11" t="n">
        <x:v>1</x:v>
      </x:c>
      <x:c r="E39" s="9" t="str">
        <x:v>valid</x:v>
      </x:c>
      <x:c r="F39" s="9" t="str">
        <x:v>stop</x:v>
      </x:c>
      <x:c r="G39" s="9" t="str">
        <x:v>Fireworks</x:v>
      </x:c>
      <x:c r="H39" s="15" t="n">
        <x:v>433</x:v>
      </x:c>
      <x:c r="I39" s="15" t="n">
        <x:v>7321</x:v>
      </x:c>
      <x:c r="J39" s="15" t="n">
        <x:v>5631</x:v>
      </x:c>
      <x:c r="K39" s="17" t="n">
        <x:v>0.00492712</x:v>
      </x:c>
      <x:c r="L39" s="15" t="n">
        <x:v>5192</x:v>
      </x:c>
      <x:c r="M39" s="9" t="str">
        <x:v>b28511812f5e481684dbc36a2032a9555a3f29117a633c67695fa9e4594505c5</x:v>
      </x:c>
      <x:c r="N39" s="9" t="str">
        <x:v>S002</x:v>
      </x:c>
    </x:row>
    <x:row r="40" ht="22" customHeight="1">
      <x:c r="A40" s="10" t="n">
        <x:v>37</x:v>
      </x:c>
      <x:c r="B40" s="5" t="str">
        <x:v>A1</x:v>
      </x:c>
      <x:c r="C40" s="10" t="n">
        <x:v>2</x:v>
      </x:c>
      <x:c r="D40" s="10" t="n">
        <x:v>1</x:v>
      </x:c>
      <x:c r="E40" s="5" t="str">
        <x:v>valid</x:v>
      </x:c>
      <x:c r="F40" s="5" t="str">
        <x:v>stop</x:v>
      </x:c>
      <x:c r="G40" s="5" t="str">
        <x:v>Inceptron</x:v>
      </x:c>
      <x:c r="H40" s="14" t="n">
        <x:v>433</x:v>
      </x:c>
      <x:c r="I40" s="14" t="n">
        <x:v>5715</x:v>
      </x:c>
      <x:c r="J40" s="14" t="n">
        <x:v>5581</x:v>
      </x:c>
      <x:c r="K40" s="16" t="n">
        <x:v>0.00165649</x:v>
      </x:c>
      <x:c r="L40" s="14" t="n">
        <x:v>1213</x:v>
      </x:c>
      <x:c r="M40" s="5" t="str">
        <x:v>63c508f7d483eea43ea5eeb408c7398a25cda34e55cf420b92858bcd2b21986b</x:v>
      </x:c>
      <x:c r="N40" s="5" t="str">
        <x:v>S002</x:v>
      </x:c>
    </x:row>
    <x:row r="41" ht="22" customHeight="1">
      <x:c r="A41" s="11" t="n">
        <x:v>37</x:v>
      </x:c>
      <x:c r="B41" s="9" t="str">
        <x:v>A1</x:v>
      </x:c>
      <x:c r="C41" s="11" t="n">
        <x:v>3</x:v>
      </x:c>
      <x:c r="D41" s="11" t="n">
        <x:v>1</x:v>
      </x:c>
      <x:c r="E41" s="9" t="str">
        <x:v>valid</x:v>
      </x:c>
      <x:c r="F41" s="9" t="str">
        <x:v>stop</x:v>
      </x:c>
      <x:c r="G41" s="9" t="str">
        <x:v>Makora</x:v>
      </x:c>
      <x:c r="H41" s="15" t="n">
        <x:v>433</x:v>
      </x:c>
      <x:c r="I41" s="15" t="n">
        <x:v>5146</x:v>
      </x:c>
      <x:c r="J41" s="15" t="n">
        <x:v>4917</x:v>
      </x:c>
      <x:c r="K41" s="17" t="n">
        <x:v>0.00104244</x:v>
      </x:c>
      <x:c r="L41" s="15" t="n">
        <x:v>1729</x:v>
      </x:c>
      <x:c r="M41" s="9" t="str">
        <x:v>aa5714a2adc258a84a9f3526e4f1089be058f3d8c731aabc8a1579bbe817b6db</x:v>
      </x:c>
      <x:c r="N41" s="9" t="str">
        <x:v>S002</x:v>
      </x:c>
    </x:row>
    <x:row r="42" ht="22" customHeight="1">
      <x:c r="A42" s="10" t="n">
        <x:v>37</x:v>
      </x:c>
      <x:c r="B42" s="5" t="str">
        <x:v>A1</x:v>
      </x:c>
      <x:c r="C42" s="10" t="n">
        <x:v>4</x:v>
      </x:c>
      <x:c r="D42" s="10" t="n">
        <x:v>0</x:v>
      </x:c>
      <x:c r="E42" s="5" t="str">
        <x:v>missing_source</x:v>
      </x:c>
      <x:c r="F42" s="5" t="str">
        <x:v>length</x:v>
      </x:c>
      <x:c r="G42" s="5" t="str">
        <x:v>Together</x:v>
      </x:c>
      <x:c r="H42" s="14" t="n">
        <x:v>433</x:v>
      </x:c>
      <x:c r="I42" s="14" t="n">
        <x:v>8000</x:v>
      </x:c>
      <x:c r="J42" s="14" t="n">
        <x:v>8000</x:v>
      </x:c>
      <x:c r="K42" s="16" t="n">
        <x:v>0.00230062</x:v>
      </x:c>
      <x:c r="L42" s="14" t="n">
        <x:v>0</x:v>
      </x:c>
      <x:c r="M42" s="5" t="str">
        <x:v>e3b0c44298fc1c149afbf4c8996fb92427ae41e4649b934ca495991b7852b855</x:v>
      </x:c>
      <x:c r="N42" s="5" t="str">
        <x:v>S002</x:v>
      </x:c>
    </x:row>
    <x:row r="43" ht="22" customHeight="1">
      <x:c r="A43" s="11" t="n">
        <x:v>37</x:v>
      </x:c>
      <x:c r="B43" s="9" t="str">
        <x:v>A1</x:v>
      </x:c>
      <x:c r="C43" s="11" t="n">
        <x:v>5</x:v>
      </x:c>
      <x:c r="D43" s="11" t="n">
        <x:v>1</x:v>
      </x:c>
      <x:c r="E43" s="9" t="str">
        <x:v>valid</x:v>
      </x:c>
      <x:c r="F43" s="9" t="str">
        <x:v>stop</x:v>
      </x:c>
      <x:c r="G43" s="9" t="str">
        <x:v>OpenInference</x:v>
      </x:c>
      <x:c r="H43" s="15" t="n">
        <x:v>433</x:v>
      </x:c>
      <x:c r="I43" s="15" t="n">
        <x:v>7842</x:v>
      </x:c>
      <x:c r="J43" s="15" t="n">
        <x:v>6651</x:v>
      </x:c>
      <x:c r="K43" s="17" t="n">
        <x:v>0.00127637</x:v>
      </x:c>
      <x:c r="L43" s="15" t="n">
        <x:v>3521</x:v>
      </x:c>
      <x:c r="M43" s="9" t="str">
        <x:v>ca90aed5894d8749827877c99db72308a65d316b1468eb6ed38fdb673ede7e1b</x:v>
      </x:c>
      <x:c r="N43" s="9" t="str">
        <x:v>S002</x:v>
      </x:c>
    </x:row>
    <x:row r="44" ht="22" customHeight="1">
      <x:c r="A44" s="10" t="n">
        <x:v>37</x:v>
      </x:c>
      <x:c r="B44" s="5" t="str">
        <x:v>A1</x:v>
      </x:c>
      <x:c r="C44" s="10" t="n">
        <x:v>6</x:v>
      </x:c>
      <x:c r="D44" s="10" t="n">
        <x:v>1</x:v>
      </x:c>
      <x:c r="E44" s="5" t="str">
        <x:v>valid</x:v>
      </x:c>
      <x:c r="F44" s="5" t="str">
        <x:v>stop</x:v>
      </x:c>
      <x:c r="G44" s="5" t="str">
        <x:v>OpenInference</x:v>
      </x:c>
      <x:c r="H44" s="14" t="n">
        <x:v>433</x:v>
      </x:c>
      <x:c r="I44" s="14" t="n">
        <x:v>2140</x:v>
      </x:c>
      <x:c r="J44" s="14" t="n">
        <x:v>1780</x:v>
      </x:c>
      <x:c r="K44" s="16" t="n">
        <x:v>0.00036405</x:v>
      </x:c>
      <x:c r="L44" s="14" t="n">
        <x:v>1332</x:v>
      </x:c>
      <x:c r="M44" s="5" t="str">
        <x:v>a2a74b3ddb20e0e4f213ad15d38ea5d6b2e2fa58d4fb73367faa9967d9fd47ee</x:v>
      </x:c>
      <x:c r="N44" s="5" t="str">
        <x:v>S002</x:v>
      </x:c>
    </x:row>
    <x:row r="45" ht="22" customHeight="1">
      <x:c r="A45" s="11" t="n">
        <x:v>37</x:v>
      </x:c>
      <x:c r="B45" s="9" t="str">
        <x:v>A1</x:v>
      </x:c>
      <x:c r="C45" s="11" t="n">
        <x:v>7</x:v>
      </x:c>
      <x:c r="D45" s="11" t="n">
        <x:v>1</x:v>
      </x:c>
      <x:c r="E45" s="9" t="str">
        <x:v>valid</x:v>
      </x:c>
      <x:c r="F45" s="9" t="str">
        <x:v>stop</x:v>
      </x:c>
      <x:c r="G45" s="9" t="str">
        <x:v>Baidu</x:v>
      </x:c>
      <x:c r="H45" s="15" t="n">
        <x:v>433</x:v>
      </x:c>
      <x:c r="I45" s="15" t="n">
        <x:v>4817</x:v>
      </x:c>
      <x:c r="J45" s="15" t="n">
        <x:v>4176</x:v>
      </x:c>
      <x:c r="K45" s="17" t="n">
        <x:v>0.00065395232</x:v>
      </x:c>
      <x:c r="L45" s="15" t="n">
        <x:v>2017</x:v>
      </x:c>
      <x:c r="M45" s="9" t="str">
        <x:v>40cb12165cca45165aa93ebc5426000f9a3e6a288c69232e37fc46039047034f</x:v>
      </x:c>
      <x:c r="N45" s="9" t="str">
        <x:v>S002</x:v>
      </x:c>
    </x:row>
    <x:row r="46" ht="22" customHeight="1">
      <x:c r="A46" s="10" t="n">
        <x:v>37</x:v>
      </x:c>
      <x:c r="B46" s="5" t="str">
        <x:v>A2</x:v>
      </x:c>
      <x:c r="C46" s="10" t="n">
        <x:v>0</x:v>
      </x:c>
      <x:c r="D46" s="10" t="n">
        <x:v>1</x:v>
      </x:c>
      <x:c r="E46" s="5" t="str">
        <x:v>valid</x:v>
      </x:c>
      <x:c r="F46" s="5" t="str">
        <x:v>stop</x:v>
      </x:c>
      <x:c r="G46" s="5" t="str">
        <x:v>Mancer 2</x:v>
      </x:c>
      <x:c r="H46" s="14" t="n">
        <x:v>1904</x:v>
      </x:c>
      <x:c r="I46" s="14" t="n">
        <x:v>3902</x:v>
      </x:c>
      <x:c r="J46" s="14" t="n">
        <x:v>2725</x:v>
      </x:c>
      <x:c r="K46" s="16" t="n">
        <x:v>0.002265</x:v>
      </x:c>
      <x:c r="L46" s="14" t="n">
        <x:v>3975</x:v>
      </x:c>
      <x:c r="M46" s="5" t="str">
        <x:v>086f3449ac06827fe98555a738a7554c6a29b15919471227342ad757efc57d3c</x:v>
      </x:c>
      <x:c r="N46" s="5" t="str">
        <x:v>S002</x:v>
      </x:c>
    </x:row>
    <x:row r="47" ht="22" customHeight="1">
      <x:c r="A47" s="11" t="n">
        <x:v>37</x:v>
      </x:c>
      <x:c r="B47" s="9" t="str">
        <x:v>A2</x:v>
      </x:c>
      <x:c r="C47" s="11" t="n">
        <x:v>1</x:v>
      </x:c>
      <x:c r="D47" s="11" t="n">
        <x:v>1</x:v>
      </x:c>
      <x:c r="E47" s="9" t="str">
        <x:v>valid</x:v>
      </x:c>
      <x:c r="F47" s="9" t="str">
        <x:v>stop</x:v>
      </x:c>
      <x:c r="G47" s="9" t="str">
        <x:v>Wafer</x:v>
      </x:c>
      <x:c r="H47" s="15" t="n">
        <x:v>3091</x:v>
      </x:c>
      <x:c r="I47" s="15" t="n">
        <x:v>7310</x:v>
      </x:c>
      <x:c r="J47" s="15" t="n">
        <x:v>6758</x:v>
      </x:c>
      <x:c r="K47" s="17" t="n">
        <x:v>0.0021366</x:v>
      </x:c>
      <x:c r="L47" s="15" t="n">
        <x:v>1792</x:v>
      </x:c>
      <x:c r="M47" s="9" t="str">
        <x:v>8c867db00d93cc0eb40d891c7dc7e06a24ffc5c08c5f51b83bf66c9a15ab4999</x:v>
      </x:c>
      <x:c r="N47" s="9" t="str">
        <x:v>S002</x:v>
      </x:c>
    </x:row>
    <x:row r="48" ht="22" customHeight="1">
      <x:c r="A48" s="10" t="n">
        <x:v>37</x:v>
      </x:c>
      <x:c r="B48" s="5" t="str">
        <x:v>A2</x:v>
      </x:c>
      <x:c r="C48" s="10" t="n">
        <x:v>2</x:v>
      </x:c>
      <x:c r="D48" s="10" t="n">
        <x:v>0</x:v>
      </x:c>
      <x:c r="E48" s="5" t="str">
        <x:v>syntax_error</x:v>
      </x:c>
      <x:c r="F48" s="5" t="str">
        <x:v>stop</x:v>
      </x:c>
      <x:c r="G48" s="5" t="str">
        <x:v>Baidu</x:v>
      </x:c>
      <x:c r="H48" s="14" t="n">
        <x:v>3197</x:v>
      </x:c>
      <x:c r="I48" s="14" t="n">
        <x:v>7071</x:v>
      </x:c>
      <x:c r="J48" s="14" t="n">
        <x:v>6009</x:v>
      </x:c>
      <x:c r="K48" s="16" t="n">
        <x:v>0.001113037632</x:v>
      </x:c>
      <x:c r="L48" s="14" t="n">
        <x:v>3977</x:v>
      </x:c>
      <x:c r="M48" s="5" t="str">
        <x:v>12c2d79607084be4f671742345b5e5b244c021f06cdd67f9c4120d5b2ab07051</x:v>
      </x:c>
      <x:c r="N48" s="5" t="str">
        <x:v>S002</x:v>
      </x:c>
    </x:row>
    <x:row r="49" ht="22" customHeight="1">
      <x:c r="A49" s="11" t="n">
        <x:v>37</x:v>
      </x:c>
      <x:c r="B49" s="9" t="str">
        <x:v>A2</x:v>
      </x:c>
      <x:c r="C49" s="11" t="n">
        <x:v>3</x:v>
      </x:c>
      <x:c r="D49" s="11" t="n">
        <x:v>0</x:v>
      </x:c>
      <x:c r="E49" s="9" t="str">
        <x:v>missing_source</x:v>
      </x:c>
      <x:c r="F49" s="9" t="str">
        <x:v>length</x:v>
      </x:c>
      <x:c r="G49" s="9" t="str">
        <x:v>Baidu</x:v>
      </x:c>
      <x:c r="H49" s="15" t="n">
        <x:v>2075</x:v>
      </x:c>
      <x:c r="I49" s="15" t="n">
        <x:v>8000</x:v>
      </x:c>
      <x:c r="J49" s="15" t="n">
        <x:v>8000</x:v>
      </x:c>
      <x:c r="K49" s="17" t="n">
        <x:v>0.001120936768</x:v>
      </x:c>
      <x:c r="L49" s="15" t="n">
        <x:v>0</x:v>
      </x:c>
      <x:c r="M49" s="9" t="str">
        <x:v>e3b0c44298fc1c149afbf4c8996fb92427ae41e4649b934ca495991b7852b855</x:v>
      </x:c>
      <x:c r="N49" s="9" t="str">
        <x:v>S002</x:v>
      </x:c>
    </x:row>
    <x:row r="50" ht="22" customHeight="1">
      <x:c r="A50" s="10" t="n">
        <x:v>37</x:v>
      </x:c>
      <x:c r="B50" s="5" t="str">
        <x:v>A2</x:v>
      </x:c>
      <x:c r="C50" s="10" t="n">
        <x:v>4</x:v>
      </x:c>
      <x:c r="D50" s="10" t="n">
        <x:v>1</x:v>
      </x:c>
      <x:c r="E50" s="5" t="str">
        <x:v>valid</x:v>
      </x:c>
      <x:c r="F50" s="5" t="str">
        <x:v>stop</x:v>
      </x:c>
      <x:c r="G50" s="5" t="str">
        <x:v>Baidu</x:v>
      </x:c>
      <x:c r="H50" s="14" t="n">
        <x:v>2069</x:v>
      </x:c>
      <x:c r="I50" s="14" t="n">
        <x:v>4109</x:v>
      </x:c>
      <x:c r="J50" s="14" t="n">
        <x:v>3358</x:v>
      </x:c>
      <x:c r="K50" s="16" t="n">
        <x:v>0.000575116864</x:v>
      </x:c>
      <x:c r="L50" s="14" t="n">
        <x:v>2767</x:v>
      </x:c>
      <x:c r="M50" s="5" t="str">
        <x:v>9b08ad18adc5c6d0bb3b1a77da81389442803dcf9189738507f461f5a14ced30</x:v>
      </x:c>
      <x:c r="N50" s="5" t="str">
        <x:v>S002</x:v>
      </x:c>
    </x:row>
    <x:row r="51" ht="22" customHeight="1">
      <x:c r="A51" s="11" t="n">
        <x:v>37</x:v>
      </x:c>
      <x:c r="B51" s="9" t="str">
        <x:v>A2</x:v>
      </x:c>
      <x:c r="C51" s="11" t="n">
        <x:v>5</x:v>
      </x:c>
      <x:c r="D51" s="11" t="n">
        <x:v>0</x:v>
      </x:c>
      <x:c r="E51" s="9" t="str">
        <x:v>syntax_error</x:v>
      </x:c>
      <x:c r="F51" s="9" t="str">
        <x:v>stop</x:v>
      </x:c>
      <x:c r="G51" s="9" t="str">
        <x:v>Baidu</x:v>
      </x:c>
      <x:c r="H51" s="15" t="n">
        <x:v>3153</x:v>
      </x:c>
      <x:c r="I51" s="15" t="n">
        <x:v>5531</x:v>
      </x:c>
      <x:c r="J51" s="15" t="n">
        <x:v>4917</x:v>
      </x:c>
      <x:c r="K51" s="17" t="n">
        <x:v>0.000830279744</x:v>
      </x:c>
      <x:c r="L51" s="15" t="n">
        <x:v>2113</x:v>
      </x:c>
      <x:c r="M51" s="9" t="str">
        <x:v>6f70db1d9c6cad024c5cdbca27947ed5877d76803551735189525952899563ad</x:v>
      </x:c>
      <x:c r="N51" s="9" t="str">
        <x:v>S002</x:v>
      </x:c>
    </x:row>
    <x:row r="52" ht="22" customHeight="1">
      <x:c r="A52" s="10" t="n">
        <x:v>37</x:v>
      </x:c>
      <x:c r="B52" s="5" t="str">
        <x:v>A2</x:v>
      </x:c>
      <x:c r="C52" s="10" t="n">
        <x:v>6</x:v>
      </x:c>
      <x:c r="D52" s="10" t="n">
        <x:v>0</x:v>
      </x:c>
      <x:c r="E52" s="5" t="str">
        <x:v>syntax_error</x:v>
      </x:c>
      <x:c r="F52" s="5" t="str">
        <x:v>stop</x:v>
      </x:c>
      <x:c r="G52" s="5" t="str">
        <x:v>Baidu</x:v>
      </x:c>
      <x:c r="H52" s="14" t="n">
        <x:v>2075</x:v>
      </x:c>
      <x:c r="I52" s="14" t="n">
        <x:v>5593</x:v>
      </x:c>
      <x:c r="J52" s="14" t="n">
        <x:v>4675</x:v>
      </x:c>
      <x:c r="K52" s="16" t="n">
        <x:v>0.000755004096</x:v>
      </x:c>
      <x:c r="L52" s="14" t="n">
        <x:v>2963</x:v>
      </x:c>
      <x:c r="M52" s="5" t="str">
        <x:v>3f769ed42c6301d800dc5eb1f490d1e4e59b3574e6add7f2e1eacd31057de633</x:v>
      </x:c>
      <x:c r="N52" s="5" t="str">
        <x:v>S002</x:v>
      </x:c>
    </x:row>
    <x:row r="53" ht="22" customHeight="1">
      <x:c r="A53" s="11" t="n">
        <x:v>37</x:v>
      </x:c>
      <x:c r="B53" s="9" t="str">
        <x:v>A2</x:v>
      </x:c>
      <x:c r="C53" s="11" t="n">
        <x:v>7</x:v>
      </x:c>
      <x:c r="D53" s="11" t="n">
        <x:v>1</x:v>
      </x:c>
      <x:c r="E53" s="9" t="str">
        <x:v>valid</x:v>
      </x:c>
      <x:c r="F53" s="9" t="str">
        <x:v>stop</x:v>
      </x:c>
      <x:c r="G53" s="9" t="str">
        <x:v>Baidu</x:v>
      </x:c>
      <x:c r="H53" s="15" t="n">
        <x:v>2075</x:v>
      </x:c>
      <x:c r="I53" s="15" t="n">
        <x:v>4071</x:v>
      </x:c>
      <x:c r="J53" s="15" t="n">
        <x:v>3257</x:v>
      </x:c>
      <x:c r="K53" s="17" t="n">
        <x:v>0.000557265856</x:v>
      </x:c>
      <x:c r="L53" s="15" t="n">
        <x:v>2663</x:v>
      </x:c>
      <x:c r="M53" s="9" t="str">
        <x:v>06d4a5409512cecdb33a24dbc62af68a77e68ef4e95eb15cd28b0d6bf71372e4</x:v>
      </x:c>
      <x:c r="N53" s="9" t="str">
        <x:v>S002</x:v>
      </x:c>
    </x:row>
    <x:row r="54" ht="22" customHeight="1">
      <x:c r="A54" s="10" t="n">
        <x:v>41</x:v>
      </x:c>
      <x:c r="B54" s="5" t="str">
        <x:v>A1</x:v>
      </x:c>
      <x:c r="C54" s="10" t="n">
        <x:v>0</x:v>
      </x:c>
      <x:c r="D54" s="10" t="n">
        <x:v>1</x:v>
      </x:c>
      <x:c r="E54" s="5" t="str">
        <x:v>valid</x:v>
      </x:c>
      <x:c r="F54" s="5" t="str">
        <x:v>stop</x:v>
      </x:c>
      <x:c r="G54" s="5" t="str">
        <x:v>Baidu</x:v>
      </x:c>
      <x:c r="H54" s="14" t="n">
        <x:v>433</x:v>
      </x:c>
      <x:c r="I54" s="14" t="n">
        <x:v>6671</x:v>
      </x:c>
      <x:c r="J54" s="14" t="n">
        <x:v>6111</x:v>
      </x:c>
      <x:c r="K54" s="16" t="n">
        <x:v>0.000881520192</x:v>
      </x:c>
      <x:c r="L54" s="14" t="n">
        <x:v>1977</x:v>
      </x:c>
      <x:c r="M54" s="5" t="str">
        <x:v>8e0e82e8c80ec52c9294950f52e5dbb7edb67d2ca50fbbc27f43458583a72eac</x:v>
      </x:c>
      <x:c r="N54" s="5" t="str">
        <x:v>S002</x:v>
      </x:c>
    </x:row>
    <x:row r="55" ht="22" customHeight="1">
      <x:c r="A55" s="11" t="n">
        <x:v>41</x:v>
      </x:c>
      <x:c r="B55" s="9" t="str">
        <x:v>A1</x:v>
      </x:c>
      <x:c r="C55" s="11" t="n">
        <x:v>1</x:v>
      </x:c>
      <x:c r="D55" s="11" t="n">
        <x:v>1</x:v>
      </x:c>
      <x:c r="E55" s="9" t="str">
        <x:v>valid</x:v>
      </x:c>
      <x:c r="F55" s="9" t="str">
        <x:v>stop</x:v>
      </x:c>
      <x:c r="G55" s="9" t="str">
        <x:v>Baidu</x:v>
      </x:c>
      <x:c r="H55" s="15" t="n">
        <x:v>433</x:v>
      </x:c>
      <x:c r="I55" s="15" t="n">
        <x:v>5667</x:v>
      </x:c>
      <x:c r="J55" s="15" t="n">
        <x:v>5117</x:v>
      </x:c>
      <x:c r="K55" s="17" t="n">
        <x:v>0.000751080512</x:v>
      </x:c>
      <x:c r="L55" s="15" t="n">
        <x:v>1865</x:v>
      </x:c>
      <x:c r="M55" s="9" t="str">
        <x:v>41f42c598dce02958c6c2ec41f641d83b37e54facdf4b0a159be4e13c5f6d934</x:v>
      </x:c>
      <x:c r="N55" s="9" t="str">
        <x:v>S002</x:v>
      </x:c>
    </x:row>
    <x:row r="56" ht="22" customHeight="1">
      <x:c r="A56" s="10" t="n">
        <x:v>41</x:v>
      </x:c>
      <x:c r="B56" s="5" t="str">
        <x:v>A1</x:v>
      </x:c>
      <x:c r="C56" s="10" t="n">
        <x:v>2</x:v>
      </x:c>
      <x:c r="D56" s="10" t="n">
        <x:v>1</x:v>
      </x:c>
      <x:c r="E56" s="5" t="str">
        <x:v>valid</x:v>
      </x:c>
      <x:c r="F56" s="5" t="str">
        <x:v>stop</x:v>
      </x:c>
      <x:c r="G56" s="5" t="str">
        <x:v>Baidu</x:v>
      </x:c>
      <x:c r="H56" s="14" t="n">
        <x:v>433</x:v>
      </x:c>
      <x:c r="I56" s="14" t="n">
        <x:v>3713</x:v>
      </x:c>
      <x:c r="J56" s="14" t="n">
        <x:v>3223</x:v>
      </x:c>
      <x:c r="K56" s="16" t="n">
        <x:v>0.000497216832</x:v>
      </x:c>
      <x:c r="L56" s="14" t="n">
        <x:v>1789</x:v>
      </x:c>
      <x:c r="M56" s="5" t="str">
        <x:v>f49e8e79e5f3db34220caba84a867e1e35e8e0f19adef3301d18bc09a5426632</x:v>
      </x:c>
      <x:c r="N56" s="5" t="str">
        <x:v>S002</x:v>
      </x:c>
    </x:row>
    <x:row r="57" ht="22" customHeight="1">
      <x:c r="A57" s="11" t="n">
        <x:v>41</x:v>
      </x:c>
      <x:c r="B57" s="9" t="str">
        <x:v>A1</x:v>
      </x:c>
      <x:c r="C57" s="11" t="n">
        <x:v>3</x:v>
      </x:c>
      <x:c r="D57" s="11" t="n">
        <x:v>1</x:v>
      </x:c>
      <x:c r="E57" s="9" t="str">
        <x:v>valid</x:v>
      </x:c>
      <x:c r="F57" s="9" t="str">
        <x:v>stop</x:v>
      </x:c>
      <x:c r="G57" s="9" t="str">
        <x:v>Baidu</x:v>
      </x:c>
      <x:c r="H57" s="15" t="n">
        <x:v>433</x:v>
      </x:c>
      <x:c r="I57" s="15" t="n">
        <x:v>4946</x:v>
      </x:c>
      <x:c r="J57" s="15" t="n">
        <x:v>3548</x:v>
      </x:c>
      <x:c r="K57" s="17" t="n">
        <x:v>0.000657408192</x:v>
      </x:c>
      <x:c r="L57" s="15" t="n">
        <x:v>4574</x:v>
      </x:c>
      <x:c r="M57" s="9" t="str">
        <x:v>3b4c6aa14554ad7e8ff54b92e026b6b362695efc46f25965acc9943b94db513d</x:v>
      </x:c>
      <x:c r="N57" s="9" t="str">
        <x:v>S002</x:v>
      </x:c>
    </x:row>
    <x:row r="58" ht="22" customHeight="1">
      <x:c r="A58" s="10" t="n">
        <x:v>41</x:v>
      </x:c>
      <x:c r="B58" s="5" t="str">
        <x:v>A1</x:v>
      </x:c>
      <x:c r="C58" s="10" t="n">
        <x:v>4</x:v>
      </x:c>
      <x:c r="D58" s="10" t="n">
        <x:v>1</x:v>
      </x:c>
      <x:c r="E58" s="5" t="str">
        <x:v>valid</x:v>
      </x:c>
      <x:c r="F58" s="5" t="str">
        <x:v>stop</x:v>
      </x:c>
      <x:c r="G58" s="5" t="str">
        <x:v>Baidu</x:v>
      </x:c>
      <x:c r="H58" s="14" t="n">
        <x:v>433</x:v>
      </x:c>
      <x:c r="I58" s="14" t="n">
        <x:v>6882</x:v>
      </x:c>
      <x:c r="J58" s="14" t="n">
        <x:v>5441</x:v>
      </x:c>
      <x:c r="K58" s="16" t="n">
        <x:v>0.000908933312</x:v>
      </x:c>
      <x:c r="L58" s="14" t="n">
        <x:v>4855</x:v>
      </x:c>
      <x:c r="M58" s="5" t="str">
        <x:v>7d217188333c852f4abe3a3a104a10e06a94339f2fa552ff3307f7238fc18a95</x:v>
      </x:c>
      <x:c r="N58" s="5" t="str">
        <x:v>S002</x:v>
      </x:c>
    </x:row>
    <x:row r="59" ht="22" customHeight="1">
      <x:c r="A59" s="11" t="n">
        <x:v>41</x:v>
      </x:c>
      <x:c r="B59" s="9" t="str">
        <x:v>A1</x:v>
      </x:c>
      <x:c r="C59" s="11" t="n">
        <x:v>5</x:v>
      </x:c>
      <x:c r="D59" s="11" t="n">
        <x:v>0</x:v>
      </x:c>
      <x:c r="E59" s="9" t="str">
        <x:v>missing_source</x:v>
      </x:c>
      <x:c r="F59" s="9" t="str">
        <x:v>length</x:v>
      </x:c>
      <x:c r="G59" s="9" t="str">
        <x:v>Baidu</x:v>
      </x:c>
      <x:c r="H59" s="15" t="n">
        <x:v>433</x:v>
      </x:c>
      <x:c r="I59" s="15" t="n">
        <x:v>8000</x:v>
      </x:c>
      <x:c r="J59" s="15" t="n">
        <x:v>8000</x:v>
      </x:c>
      <x:c r="K59" s="17" t="n">
        <x:v>0.001054183872</x:v>
      </x:c>
      <x:c r="L59" s="15" t="n">
        <x:v>0</x:v>
      </x:c>
      <x:c r="M59" s="9" t="str">
        <x:v>e3b0c44298fc1c149afbf4c8996fb92427ae41e4649b934ca495991b7852b855</x:v>
      </x:c>
      <x:c r="N59" s="9" t="str">
        <x:v>S002</x:v>
      </x:c>
    </x:row>
    <x:row r="60" ht="22" customHeight="1">
      <x:c r="A60" s="10" t="n">
        <x:v>41</x:v>
      </x:c>
      <x:c r="B60" s="5" t="str">
        <x:v>A1</x:v>
      </x:c>
      <x:c r="C60" s="10" t="n">
        <x:v>6</x:v>
      </x:c>
      <x:c r="D60" s="10" t="n">
        <x:v>1</x:v>
      </x:c>
      <x:c r="E60" s="5" t="str">
        <x:v>valid</x:v>
      </x:c>
      <x:c r="F60" s="5" t="str">
        <x:v>stop</x:v>
      </x:c>
      <x:c r="G60" s="5" t="str">
        <x:v>Baidu</x:v>
      </x:c>
      <x:c r="H60" s="14" t="n">
        <x:v>433</x:v>
      </x:c>
      <x:c r="I60" s="14" t="n">
        <x:v>3707</x:v>
      </x:c>
      <x:c r="J60" s="14" t="n">
        <x:v>3275</x:v>
      </x:c>
      <x:c r="K60" s="16" t="n">
        <x:v>0.000496437312</x:v>
      </x:c>
      <x:c r="L60" s="14" t="n">
        <x:v>1463</x:v>
      </x:c>
      <x:c r="M60" s="5" t="str">
        <x:v>094e9261d21ccec49187091bd4670a8deb8300da405ac1430de1d4535d93f073</x:v>
      </x:c>
      <x:c r="N60" s="5" t="str">
        <x:v>S002</x:v>
      </x:c>
    </x:row>
    <x:row r="61" ht="22" customHeight="1">
      <x:c r="A61" s="11" t="n">
        <x:v>41</x:v>
      </x:c>
      <x:c r="B61" s="9" t="str">
        <x:v>A1</x:v>
      </x:c>
      <x:c r="C61" s="11" t="n">
        <x:v>7</x:v>
      </x:c>
      <x:c r="D61" s="11" t="n">
        <x:v>1</x:v>
      </x:c>
      <x:c r="E61" s="9" t="str">
        <x:v>valid</x:v>
      </x:c>
      <x:c r="F61" s="9" t="str">
        <x:v>stop</x:v>
      </x:c>
      <x:c r="G61" s="9" t="str">
        <x:v>Baidu</x:v>
      </x:c>
      <x:c r="H61" s="15" t="n">
        <x:v>433</x:v>
      </x:c>
      <x:c r="I61" s="15" t="n">
        <x:v>7045</x:v>
      </x:c>
      <x:c r="J61" s="15" t="n">
        <x:v>5511</x:v>
      </x:c>
      <x:c r="K61" s="17" t="n">
        <x:v>0.000930110272</x:v>
      </x:c>
      <x:c r="L61" s="15" t="n">
        <x:v>5024</x:v>
      </x:c>
      <x:c r="M61" s="9" t="str">
        <x:v>aa6a2a3d8a54b54bb9d2e8be9a942e5e141f09e42ff46da3d568625e23cf3732</x:v>
      </x:c>
      <x:c r="N61" s="9" t="str">
        <x:v>S002</x:v>
      </x:c>
    </x:row>
    <x:row r="62" ht="22" customHeight="1">
      <x:c r="A62" s="10" t="n">
        <x:v>41</x:v>
      </x:c>
      <x:c r="B62" s="5" t="str">
        <x:v>A2</x:v>
      </x:c>
      <x:c r="C62" s="10" t="n">
        <x:v>0</x:v>
      </x:c>
      <x:c r="D62" s="10" t="n">
        <x:v>1</x:v>
      </x:c>
      <x:c r="E62" s="5" t="str">
        <x:v>valid</x:v>
      </x:c>
      <x:c r="F62" s="5" t="str">
        <x:v>stop</x:v>
      </x:c>
      <x:c r="G62" s="5" t="str">
        <x:v>Baidu</x:v>
      </x:c>
      <x:c r="H62" s="14" t="n">
        <x:v>1906</x:v>
      </x:c>
      <x:c r="I62" s="14" t="n">
        <x:v>5537</x:v>
      </x:c>
      <x:c r="J62" s="14" t="n">
        <x:v>4559</x:v>
      </x:c>
      <x:c r="K62" s="16" t="n">
        <x:v>0.000816573184</x:v>
      </x:c>
      <x:c r="L62" s="14" t="n">
        <x:v>3366</x:v>
      </x:c>
      <x:c r="M62" s="5" t="str">
        <x:v>5188d1519b7ee2e1fe806810ad1aad0a2cfcd93be1969ecb19c2887fbe9246b2</x:v>
      </x:c>
      <x:c r="N62" s="5" t="str">
        <x:v>S002</x:v>
      </x:c>
    </x:row>
    <x:row r="63" ht="22" customHeight="1">
      <x:c r="A63" s="11" t="n">
        <x:v>41</x:v>
      </x:c>
      <x:c r="B63" s="9" t="str">
        <x:v>A2</x:v>
      </x:c>
      <x:c r="C63" s="11" t="n">
        <x:v>1</x:v>
      </x:c>
      <x:c r="D63" s="11" t="n">
        <x:v>0</x:v>
      </x:c>
      <x:c r="E63" s="9" t="str">
        <x:v>syntax_error</x:v>
      </x:c>
      <x:c r="F63" s="9" t="str">
        <x:v>stop</x:v>
      </x:c>
      <x:c r="G63" s="9" t="str">
        <x:v>Baidu</x:v>
      </x:c>
      <x:c r="H63" s="15" t="n">
        <x:v>3169</x:v>
      </x:c>
      <x:c r="I63" s="15" t="n">
        <x:v>4418</x:v>
      </x:c>
      <x:c r="J63" s="15" t="n">
        <x:v>3927</x:v>
      </x:c>
      <x:c r="K63" s="17" t="n">
        <x:v>0.000686718144</x:v>
      </x:c>
      <x:c r="L63" s="15" t="n">
        <x:v>1638</x:v>
      </x:c>
      <x:c r="M63" s="9" t="str">
        <x:v>dca6125e0fe16a2ad1f8e1506504d5c7d671eb00f0d342f88ce3d7285be54054</x:v>
      </x:c>
      <x:c r="N63" s="9" t="str">
        <x:v>S002</x:v>
      </x:c>
    </x:row>
    <x:row r="64" ht="22" customHeight="1">
      <x:c r="A64" s="10" t="n">
        <x:v>41</x:v>
      </x:c>
      <x:c r="B64" s="5" t="str">
        <x:v>A2</x:v>
      </x:c>
      <x:c r="C64" s="10" t="n">
        <x:v>2</x:v>
      </x:c>
      <x:c r="D64" s="10" t="n">
        <x:v>1</x:v>
      </x:c>
      <x:c r="E64" s="5" t="str">
        <x:v>valid</x:v>
      </x:c>
      <x:c r="F64" s="5" t="str">
        <x:v>stop</x:v>
      </x:c>
      <x:c r="G64" s="5" t="str">
        <x:v>Baidu</x:v>
      </x:c>
      <x:c r="H64" s="14" t="n">
        <x:v>2077</x:v>
      </x:c>
      <x:c r="I64" s="14" t="n">
        <x:v>5542</x:v>
      </x:c>
      <x:c r="J64" s="14" t="n">
        <x:v>4716</x:v>
      </x:c>
      <x:c r="K64" s="16" t="n">
        <x:v>0.000761811904</x:v>
      </x:c>
      <x:c r="L64" s="14" t="n">
        <x:v>2807</x:v>
      </x:c>
      <x:c r="M64" s="5" t="str">
        <x:v>a4f19d1e315823c7ad425307f780ef0cba6a1b7cab3b19f7c1be9cf6d2236a69</x:v>
      </x:c>
      <x:c r="N64" s="5" t="str">
        <x:v>S002</x:v>
      </x:c>
    </x:row>
    <x:row r="65" ht="22" customHeight="1">
      <x:c r="A65" s="11" t="n">
        <x:v>41</x:v>
      </x:c>
      <x:c r="B65" s="9" t="str">
        <x:v>A2</x:v>
      </x:c>
      <x:c r="C65" s="11" t="n">
        <x:v>3</x:v>
      </x:c>
      <x:c r="D65" s="11" t="n">
        <x:v>1</x:v>
      </x:c>
      <x:c r="E65" s="9" t="str">
        <x:v>valid</x:v>
      </x:c>
      <x:c r="F65" s="9" t="str">
        <x:v>stop</x:v>
      </x:c>
      <x:c r="G65" s="9" t="str">
        <x:v>Baidu</x:v>
      </x:c>
      <x:c r="H65" s="15" t="n">
        <x:v>3193</x:v>
      </x:c>
      <x:c r="I65" s="15" t="n">
        <x:v>6523</x:v>
      </x:c>
      <x:c r="J65" s="15" t="n">
        <x:v>5767</x:v>
      </x:c>
      <x:c r="K65" s="17" t="n">
        <x:v>0.001001670208</x:v>
      </x:c>
      <x:c r="L65" s="15" t="n">
        <x:v>2367</x:v>
      </x:c>
      <x:c r="M65" s="9" t="str">
        <x:v>dc8fcee9f75097f815e984ac35e7fef9909dcd4d5d29c7d06b87a0e124aa108a</x:v>
      </x:c>
      <x:c r="N65" s="9" t="str">
        <x:v>S002</x:v>
      </x:c>
    </x:row>
    <x:row r="66" ht="22" customHeight="1">
      <x:c r="A66" s="10" t="n">
        <x:v>41</x:v>
      </x:c>
      <x:c r="B66" s="5" t="str">
        <x:v>A2</x:v>
      </x:c>
      <x:c r="C66" s="10" t="n">
        <x:v>4</x:v>
      </x:c>
      <x:c r="D66" s="10" t="n">
        <x:v>1</x:v>
      </x:c>
      <x:c r="E66" s="5" t="str">
        <x:v>valid</x:v>
      </x:c>
      <x:c r="F66" s="5" t="str">
        <x:v>stop</x:v>
      </x:c>
      <x:c r="G66" s="5" t="str">
        <x:v>Baidu</x:v>
      </x:c>
      <x:c r="H66" s="14" t="n">
        <x:v>3046</x:v>
      </x:c>
      <x:c r="I66" s="14" t="n">
        <x:v>6536</x:v>
      </x:c>
      <x:c r="J66" s="14" t="n">
        <x:v>5560</x:v>
      </x:c>
      <x:c r="K66" s="16" t="n">
        <x:v>0.000993810048</x:v>
      </x:c>
      <x:c r="L66" s="14" t="n">
        <x:v>3389</x:v>
      </x:c>
      <x:c r="M66" s="5" t="str">
        <x:v>432bc742168a87795a29ee9f5a4148885e3b267907a30e192c760509f2b8d2c6</x:v>
      </x:c>
      <x:c r="N66" s="5" t="str">
        <x:v>S002</x:v>
      </x:c>
    </x:row>
    <x:row r="67" ht="22" customHeight="1">
      <x:c r="A67" s="11" t="n">
        <x:v>41</x:v>
      </x:c>
      <x:c r="B67" s="9" t="str">
        <x:v>A2</x:v>
      </x:c>
      <x:c r="C67" s="11" t="n">
        <x:v>5</x:v>
      </x:c>
      <x:c r="D67" s="11" t="n">
        <x:v>1</x:v>
      </x:c>
      <x:c r="E67" s="9" t="str">
        <x:v>valid</x:v>
      </x:c>
      <x:c r="F67" s="9" t="str">
        <x:v>stop</x:v>
      </x:c>
      <x:c r="G67" s="9" t="str">
        <x:v>Baidu</x:v>
      </x:c>
      <x:c r="H67" s="15" t="n">
        <x:v>4061</x:v>
      </x:c>
      <x:c r="I67" s="15" t="n">
        <x:v>7671</x:v>
      </x:c>
      <x:c r="J67" s="15" t="n">
        <x:v>6055</x:v>
      </x:c>
      <x:c r="K67" s="17" t="n">
        <x:v>0.001247115072</x:v>
      </x:c>
      <x:c r="L67" s="15" t="n">
        <x:v>5478</x:v>
      </x:c>
      <x:c r="M67" s="9" t="str">
        <x:v>1684f91acdc36c0ca6aac70afeb9cc2c4eed7ab847926d5880590e059266abb7</x:v>
      </x:c>
      <x:c r="N67" s="9" t="str">
        <x:v>S002</x:v>
      </x:c>
    </x:row>
    <x:row r="68" ht="22" customHeight="1">
      <x:c r="A68" s="10" t="n">
        <x:v>41</x:v>
      </x:c>
      <x:c r="B68" s="5" t="str">
        <x:v>A2</x:v>
      </x:c>
      <x:c r="C68" s="10" t="n">
        <x:v>6</x:v>
      </x:c>
      <x:c r="D68" s="10" t="n">
        <x:v>0</x:v>
      </x:c>
      <x:c r="E68" s="5" t="str">
        <x:v>missing_source</x:v>
      </x:c>
      <x:c r="F68" s="5" t="str">
        <x:v>length</x:v>
      </x:c>
      <x:c r="G68" s="5" t="str">
        <x:v>Baidu</x:v>
      </x:c>
      <x:c r="H68" s="14" t="n">
        <x:v>3964</x:v>
      </x:c>
      <x:c r="I68" s="14" t="n">
        <x:v>8000</x:v>
      </x:c>
      <x:c r="J68" s="14" t="n">
        <x:v>8000</x:v>
      </x:c>
      <x:c r="K68" s="16" t="n">
        <x:v>0.001190430976</x:v>
      </x:c>
      <x:c r="L68" s="14" t="n">
        <x:v>0</x:v>
      </x:c>
      <x:c r="M68" s="5" t="str">
        <x:v>e3b0c44298fc1c149afbf4c8996fb92427ae41e4649b934ca495991b7852b855</x:v>
      </x:c>
      <x:c r="N68" s="5" t="str">
        <x:v>S002</x:v>
      </x:c>
    </x:row>
    <x:row r="69" ht="22" customHeight="1">
      <x:c r="A69" s="11" t="n">
        <x:v>41</x:v>
      </x:c>
      <x:c r="B69" s="9" t="str">
        <x:v>A2</x:v>
      </x:c>
      <x:c r="C69" s="11" t="n">
        <x:v>7</x:v>
      </x:c>
      <x:c r="D69" s="11" t="n">
        <x:v>0</x:v>
      </x:c>
      <x:c r="E69" s="9" t="str">
        <x:v>missing_source</x:v>
      </x:c>
      <x:c r="F69" s="9" t="str">
        <x:v>length</x:v>
      </x:c>
      <x:c r="G69" s="9" t="str">
        <x:v>Baidu</x:v>
      </x:c>
      <x:c r="H69" s="15" t="n">
        <x:v>2909</x:v>
      </x:c>
      <x:c r="I69" s="15" t="n">
        <x:v>8000</x:v>
      </x:c>
      <x:c r="J69" s="15" t="n">
        <x:v>7020</x:v>
      </x:c>
      <x:c r="K69" s="17" t="n">
        <x:v>0.001121898176</x:v>
      </x:c>
      <x:c r="L69" s="15" t="n">
        <x:v>0</x:v>
      </x:c>
      <x:c r="M69" s="9" t="str">
        <x:v>e3b0c44298fc1c149afbf4c8996fb92427ae41e4649b934ca495991b7852b855</x:v>
      </x:c>
      <x:c r="N69" s="9" t="str">
        <x:v>S002</x:v>
      </x:c>
    </x:row>
    <x:row r="70" ht="22" customHeight="1">
      <x:c r="A70" s="10" t="n">
        <x:v>53</x:v>
      </x:c>
      <x:c r="B70" s="5" t="str">
        <x:v>A1</x:v>
      </x:c>
      <x:c r="C70" s="10" t="n">
        <x:v>0</x:v>
      </x:c>
      <x:c r="D70" s="10" t="n">
        <x:v>1</x:v>
      </x:c>
      <x:c r="E70" s="5" t="str">
        <x:v>valid</x:v>
      </x:c>
      <x:c r="F70" s="5" t="str">
        <x:v>stop</x:v>
      </x:c>
      <x:c r="G70" s="5" t="str">
        <x:v>Baidu</x:v>
      </x:c>
      <x:c r="H70" s="14" t="n">
        <x:v>433</x:v>
      </x:c>
      <x:c r="I70" s="14" t="n">
        <x:v>3214</x:v>
      </x:c>
      <x:c r="J70" s="14" t="n">
        <x:v>2726</x:v>
      </x:c>
      <x:c r="K70" s="16" t="n">
        <x:v>0.000432386752</x:v>
      </x:c>
      <x:c r="L70" s="14" t="n">
        <x:v>1644</x:v>
      </x:c>
      <x:c r="M70" s="5" t="str">
        <x:v>9f07507efbd54d128d5521eff44981ab17b00662c8952feb07f161220458781a</x:v>
      </x:c>
      <x:c r="N70" s="5" t="str">
        <x:v>S002</x:v>
      </x:c>
    </x:row>
    <x:row r="71" ht="22" customHeight="1">
      <x:c r="A71" s="11" t="n">
        <x:v>53</x:v>
      </x:c>
      <x:c r="B71" s="9" t="str">
        <x:v>A1</x:v>
      </x:c>
      <x:c r="C71" s="11" t="n">
        <x:v>1</x:v>
      </x:c>
      <x:c r="D71" s="11" t="n">
        <x:v>0</x:v>
      </x:c>
      <x:c r="E71" s="9" t="str">
        <x:v>missing_source</x:v>
      </x:c>
      <x:c r="F71" s="9" t="str">
        <x:v>length</x:v>
      </x:c>
      <x:c r="G71" s="9" t="str">
        <x:v>Baidu</x:v>
      </x:c>
      <x:c r="H71" s="15" t="n">
        <x:v>433</x:v>
      </x:c>
      <x:c r="I71" s="15" t="n">
        <x:v>8000</x:v>
      </x:c>
      <x:c r="J71" s="15" t="n">
        <x:v>7473</x:v>
      </x:c>
      <x:c r="K71" s="17" t="n">
        <x:v>0.001054183872</x:v>
      </x:c>
      <x:c r="L71" s="15" t="n">
        <x:v>0</x:v>
      </x:c>
      <x:c r="M71" s="9" t="str">
        <x:v>e3b0c44298fc1c149afbf4c8996fb92427ae41e4649b934ca495991b7852b855</x:v>
      </x:c>
      <x:c r="N71" s="9" t="str">
        <x:v>S002</x:v>
      </x:c>
    </x:row>
    <x:row r="72" ht="22" customHeight="1">
      <x:c r="A72" s="10" t="n">
        <x:v>53</x:v>
      </x:c>
      <x:c r="B72" s="5" t="str">
        <x:v>A1</x:v>
      </x:c>
      <x:c r="C72" s="10" t="n">
        <x:v>2</x:v>
      </x:c>
      <x:c r="D72" s="10" t="n">
        <x:v>1</x:v>
      </x:c>
      <x:c r="E72" s="5" t="str">
        <x:v>valid</x:v>
      </x:c>
      <x:c r="F72" s="5" t="str">
        <x:v>stop</x:v>
      </x:c>
      <x:c r="G72" s="5" t="str">
        <x:v>Baidu</x:v>
      </x:c>
      <x:c r="H72" s="14" t="n">
        <x:v>433</x:v>
      </x:c>
      <x:c r="I72" s="14" t="n">
        <x:v>2369</x:v>
      </x:c>
      <x:c r="J72" s="14" t="n">
        <x:v>1938</x:v>
      </x:c>
      <x:c r="K72" s="16" t="n">
        <x:v>0.000322604352</x:v>
      </x:c>
      <x:c r="L72" s="14" t="n">
        <x:v>1559</x:v>
      </x:c>
      <x:c r="M72" s="5" t="str">
        <x:v>9712f5e0dca2aacbfabd28a0e6bf933a9425722165c3ba581e713146461ec5ce</x:v>
      </x:c>
      <x:c r="N72" s="5" t="str">
        <x:v>S002</x:v>
      </x:c>
    </x:row>
    <x:row r="73" ht="22" customHeight="1">
      <x:c r="A73" s="11" t="n">
        <x:v>53</x:v>
      </x:c>
      <x:c r="B73" s="9" t="str">
        <x:v>A1</x:v>
      </x:c>
      <x:c r="C73" s="11" t="n">
        <x:v>3</x:v>
      </x:c>
      <x:c r="D73" s="11" t="n">
        <x:v>1</x:v>
      </x:c>
      <x:c r="E73" s="9" t="str">
        <x:v>valid</x:v>
      </x:c>
      <x:c r="F73" s="9" t="str">
        <x:v>stop</x:v>
      </x:c>
      <x:c r="G73" s="9" t="str">
        <x:v>Baidu</x:v>
      </x:c>
      <x:c r="H73" s="15" t="n">
        <x:v>433</x:v>
      </x:c>
      <x:c r="I73" s="15" t="n">
        <x:v>6328</x:v>
      </x:c>
      <x:c r="J73" s="15" t="n">
        <x:v>5467</x:v>
      </x:c>
      <x:c r="K73" s="17" t="n">
        <x:v>0.000836957632</x:v>
      </x:c>
      <x:c r="L73" s="15" t="n">
        <x:v>2994</x:v>
      </x:c>
      <x:c r="M73" s="9" t="str">
        <x:v>e54108a510c2e85278b06596fe5970a13c9e12de2c9e328909b7611f0e2d3e9e</x:v>
      </x:c>
      <x:c r="N73" s="9" t="str">
        <x:v>S002</x:v>
      </x:c>
    </x:row>
    <x:row r="74" ht="22" customHeight="1">
      <x:c r="A74" s="10" t="n">
        <x:v>53</x:v>
      </x:c>
      <x:c r="B74" s="5" t="str">
        <x:v>A1</x:v>
      </x:c>
      <x:c r="C74" s="10" t="n">
        <x:v>4</x:v>
      </x:c>
      <x:c r="D74" s="10" t="n">
        <x:v>1</x:v>
      </x:c>
      <x:c r="E74" s="5" t="str">
        <x:v>valid</x:v>
      </x:c>
      <x:c r="F74" s="5" t="str">
        <x:v>stop</x:v>
      </x:c>
      <x:c r="G74" s="5" t="str">
        <x:v>Baidu</x:v>
      </x:c>
      <x:c r="H74" s="14" t="n">
        <x:v>433</x:v>
      </x:c>
      <x:c r="I74" s="14" t="n">
        <x:v>4298</x:v>
      </x:c>
      <x:c r="J74" s="14" t="n">
        <x:v>3537</x:v>
      </x:c>
      <x:c r="K74" s="16" t="n">
        <x:v>0.000573220032</x:v>
      </x:c>
      <x:c r="L74" s="14" t="n">
        <x:v>2483</x:v>
      </x:c>
      <x:c r="M74" s="5" t="str">
        <x:v>d90a61a7465aedf536d38baaa4aeb2ac49fd3375bf849446b7cc6a4694626a25</x:v>
      </x:c>
      <x:c r="N74" s="5" t="str">
        <x:v>S002</x:v>
      </x:c>
    </x:row>
    <x:row r="75" ht="22" customHeight="1">
      <x:c r="A75" s="11" t="n">
        <x:v>53</x:v>
      </x:c>
      <x:c r="B75" s="9" t="str">
        <x:v>A1</x:v>
      </x:c>
      <x:c r="C75" s="11" t="n">
        <x:v>5</x:v>
      </x:c>
      <x:c r="D75" s="11" t="n">
        <x:v>0</x:v>
      </x:c>
      <x:c r="E75" s="9" t="str">
        <x:v>missing_source</x:v>
      </x:c>
      <x:c r="F75" s="9" t="str">
        <x:v>length</x:v>
      </x:c>
      <x:c r="G75" s="9" t="str">
        <x:v>Baidu</x:v>
      </x:c>
      <x:c r="H75" s="15" t="n">
        <x:v>433</x:v>
      </x:c>
      <x:c r="I75" s="15" t="n">
        <x:v>8000</x:v>
      </x:c>
      <x:c r="J75" s="15" t="n">
        <x:v>6169</x:v>
      </x:c>
      <x:c r="K75" s="17" t="n">
        <x:v>0.001054183872</x:v>
      </x:c>
      <x:c r="L75" s="15" t="n">
        <x:v>0</x:v>
      </x:c>
      <x:c r="M75" s="9" t="str">
        <x:v>e3b0c44298fc1c149afbf4c8996fb92427ae41e4649b934ca495991b7852b855</x:v>
      </x:c>
      <x:c r="N75" s="9" t="str">
        <x:v>S002</x:v>
      </x:c>
    </x:row>
    <x:row r="76" ht="22" customHeight="1">
      <x:c r="A76" s="10" t="n">
        <x:v>53</x:v>
      </x:c>
      <x:c r="B76" s="5" t="str">
        <x:v>A1</x:v>
      </x:c>
      <x:c r="C76" s="10" t="n">
        <x:v>6</x:v>
      </x:c>
      <x:c r="D76" s="10" t="n">
        <x:v>1</x:v>
      </x:c>
      <x:c r="E76" s="5" t="str">
        <x:v>valid</x:v>
      </x:c>
      <x:c r="F76" s="5" t="str">
        <x:v>stop</x:v>
      </x:c>
      <x:c r="G76" s="5" t="str">
        <x:v>Baidu</x:v>
      </x:c>
      <x:c r="H76" s="14" t="n">
        <x:v>433</x:v>
      </x:c>
      <x:c r="I76" s="14" t="n">
        <x:v>5952</x:v>
      </x:c>
      <x:c r="J76" s="14" t="n">
        <x:v>4898</x:v>
      </x:c>
      <x:c r="K76" s="16" t="n">
        <x:v>0.000788107712</x:v>
      </x:c>
      <x:c r="L76" s="14" t="n">
        <x:v>3868</x:v>
      </x:c>
      <x:c r="M76" s="5" t="str">
        <x:v>97381e8c3a933b917bb5542309d675499f04fa6b757667ff6fffae5db9018b73</x:v>
      </x:c>
      <x:c r="N76" s="5" t="str">
        <x:v>S002</x:v>
      </x:c>
    </x:row>
    <x:row r="77" ht="22" customHeight="1">
      <x:c r="A77" s="11" t="n">
        <x:v>53</x:v>
      </x:c>
      <x:c r="B77" s="9" t="str">
        <x:v>A1</x:v>
      </x:c>
      <x:c r="C77" s="11" t="n">
        <x:v>7</x:v>
      </x:c>
      <x:c r="D77" s="11" t="n">
        <x:v>1</x:v>
      </x:c>
      <x:c r="E77" s="9" t="str">
        <x:v>valid</x:v>
      </x:c>
      <x:c r="F77" s="9" t="str">
        <x:v>stop</x:v>
      </x:c>
      <x:c r="G77" s="9" t="str">
        <x:v>Baidu</x:v>
      </x:c>
      <x:c r="H77" s="15" t="n">
        <x:v>433</x:v>
      </x:c>
      <x:c r="I77" s="15" t="n">
        <x:v>3999</x:v>
      </x:c>
      <x:c r="J77" s="15" t="n">
        <x:v>3464</x:v>
      </x:c>
      <x:c r="K77" s="17" t="n">
        <x:v>0.00054767776</x:v>
      </x:c>
      <x:c r="L77" s="15" t="n">
        <x:v>1900</x:v>
      </x:c>
      <x:c r="M77" s="9" t="str">
        <x:v>c5117b6fc11607b7d9d886f104f9db2f7732b1c189b13d3f64836f636df6937f</x:v>
      </x:c>
      <x:c r="N77" s="9" t="str">
        <x:v>S002</x:v>
      </x:c>
    </x:row>
    <x:row r="78" ht="22" customHeight="1">
      <x:c r="A78" s="10" t="n">
        <x:v>53</x:v>
      </x:c>
      <x:c r="B78" s="5" t="str">
        <x:v>A2</x:v>
      </x:c>
      <x:c r="C78" s="10" t="n">
        <x:v>0</x:v>
      </x:c>
      <x:c r="D78" s="10" t="n">
        <x:v>1</x:v>
      </x:c>
      <x:c r="E78" s="5" t="str">
        <x:v>valid</x:v>
      </x:c>
      <x:c r="F78" s="5" t="str">
        <x:v>stop</x:v>
      </x:c>
      <x:c r="G78" s="5" t="str">
        <x:v>Baidu</x:v>
      </x:c>
      <x:c r="H78" s="14" t="n">
        <x:v>1899</x:v>
      </x:c>
      <x:c r="I78" s="14" t="n">
        <x:v>4566</x:v>
      </x:c>
      <x:c r="J78" s="14" t="n">
        <x:v>4241</x:v>
      </x:c>
      <x:c r="K78" s="16" t="n">
        <x:v>0.000703269952</x:v>
      </x:c>
      <x:c r="L78" s="14" t="n">
        <x:v>1141</x:v>
      </x:c>
      <x:c r="M78" s="5" t="str">
        <x:v>232b5a78a0c6e65cd1a3e1a2be119b11e97f420e806d11dc8a6be5c8f9fe8661</x:v>
      </x:c>
      <x:c r="N78" s="5" t="str">
        <x:v>S002</x:v>
      </x:c>
    </x:row>
    <x:row r="79" ht="22" customHeight="1">
      <x:c r="A79" s="11" t="n">
        <x:v>53</x:v>
      </x:c>
      <x:c r="B79" s="9" t="str">
        <x:v>A2</x:v>
      </x:c>
      <x:c r="C79" s="11" t="n">
        <x:v>1</x:v>
      </x:c>
      <x:c r="D79" s="11" t="n">
        <x:v>1</x:v>
      </x:c>
      <x:c r="E79" s="9" t="str">
        <x:v>valid</x:v>
      </x:c>
      <x:c r="F79" s="9" t="str">
        <x:v>stop</x:v>
      </x:c>
      <x:c r="G79" s="9" t="str">
        <x:v>Baidu</x:v>
      </x:c>
      <x:c r="H79" s="15" t="n">
        <x:v>3183</x:v>
      </x:c>
      <x:c r="I79" s="15" t="n">
        <x:v>5224</x:v>
      </x:c>
      <x:c r="J79" s="15" t="n">
        <x:v>4708</x:v>
      </x:c>
      <x:c r="K79" s="17" t="n">
        <x:v>0.000832254528</x:v>
      </x:c>
      <x:c r="L79" s="15" t="n">
        <x:v>1712</x:v>
      </x:c>
      <x:c r="M79" s="9" t="str">
        <x:v>fcbc0395e171eb6109a267b5fbd1a8895ec6023802ba4f589e8f00d7ee4d5d70</x:v>
      </x:c>
      <x:c r="N79" s="9" t="str">
        <x:v>S002</x:v>
      </x:c>
    </x:row>
    <x:row r="80" ht="22" customHeight="1">
      <x:c r="A80" s="10" t="n">
        <x:v>53</x:v>
      </x:c>
      <x:c r="B80" s="5" t="str">
        <x:v>A2</x:v>
      </x:c>
      <x:c r="C80" s="10" t="n">
        <x:v>2</x:v>
      </x:c>
      <x:c r="D80" s="10" t="n">
        <x:v>0</x:v>
      </x:c>
      <x:c r="E80" s="5" t="str">
        <x:v>missing_source</x:v>
      </x:c>
      <x:c r="F80" s="5" t="str">
        <x:v>length</x:v>
      </x:c>
      <x:c r="G80" s="5" t="str">
        <x:v>Baidu</x:v>
      </x:c>
      <x:c r="H80" s="14" t="n">
        <x:v>3178</x:v>
      </x:c>
      <x:c r="I80" s="14" t="n">
        <x:v>8000</x:v>
      </x:c>
      <x:c r="J80" s="14" t="n">
        <x:v>8000</x:v>
      </x:c>
      <x:c r="K80" s="16" t="n">
        <x:v>0.001192587648</x:v>
      </x:c>
      <x:c r="L80" s="14" t="n">
        <x:v>0</x:v>
      </x:c>
      <x:c r="M80" s="5" t="str">
        <x:v>e3b0c44298fc1c149afbf4c8996fb92427ae41e4649b934ca495991b7852b855</x:v>
      </x:c>
      <x:c r="N80" s="5" t="str">
        <x:v>S002</x:v>
      </x:c>
    </x:row>
    <x:row r="81" ht="22" customHeight="1">
      <x:c r="A81" s="11" t="n">
        <x:v>53</x:v>
      </x:c>
      <x:c r="B81" s="9" t="str">
        <x:v>A2</x:v>
      </x:c>
      <x:c r="C81" s="11" t="n">
        <x:v>3</x:v>
      </x:c>
      <x:c r="D81" s="11" t="n">
        <x:v>1</x:v>
      </x:c>
      <x:c r="E81" s="9" t="str">
        <x:v>valid</x:v>
      </x:c>
      <x:c r="F81" s="9" t="str">
        <x:v>stop</x:v>
      </x:c>
      <x:c r="G81" s="9" t="str">
        <x:v>Baidu</x:v>
      </x:c>
      <x:c r="H81" s="15" t="n">
        <x:v>2064</x:v>
      </x:c>
      <x:c r="I81" s="15" t="n">
        <x:v>5236</x:v>
      </x:c>
      <x:c r="J81" s="15" t="n">
        <x:v>4794</x:v>
      </x:c>
      <x:c r="K81" s="17" t="n">
        <x:v>0.000761123328</x:v>
      </x:c>
      <x:c r="L81" s="15" t="n">
        <x:v>1517</x:v>
      </x:c>
      <x:c r="M81" s="9" t="str">
        <x:v>72baadca2c2a7287fbab9b2aebbd516739b4fa845af20b17294b212a982c79e3</x:v>
      </x:c>
      <x:c r="N81" s="9" t="str">
        <x:v>S002</x:v>
      </x:c>
    </x:row>
    <x:row r="82" ht="22" customHeight="1">
      <x:c r="A82" s="10" t="n">
        <x:v>53</x:v>
      </x:c>
      <x:c r="B82" s="5" t="str">
        <x:v>A2</x:v>
      </x:c>
      <x:c r="C82" s="10" t="n">
        <x:v>4</x:v>
      </x:c>
      <x:c r="D82" s="10" t="n">
        <x:v>1</x:v>
      </x:c>
      <x:c r="E82" s="5" t="str">
        <x:v>valid</x:v>
      </x:c>
      <x:c r="F82" s="5" t="str">
        <x:v>stop</x:v>
      </x:c>
      <x:c r="G82" s="5" t="str">
        <x:v>Baidu</x:v>
      </x:c>
      <x:c r="H82" s="14" t="n">
        <x:v>3292</x:v>
      </x:c>
      <x:c r="I82" s="14" t="n">
        <x:v>5045</x:v>
      </x:c>
      <x:c r="J82" s="14" t="n">
        <x:v>4394</x:v>
      </x:c>
      <x:c r="K82" s="16" t="n">
        <x:v>0.000855990912</x:v>
      </x:c>
      <x:c r="L82" s="14" t="n">
        <x:v>2206</x:v>
      </x:c>
      <x:c r="M82" s="5" t="str">
        <x:v>fd65cfceb1ef44979420e627304665a977c073f4ae65f6f015a1c10d3a833160</x:v>
      </x:c>
      <x:c r="N82" s="5" t="str">
        <x:v>S002</x:v>
      </x:c>
    </x:row>
    <x:row r="83" ht="22" customHeight="1">
      <x:c r="A83" s="11" t="n">
        <x:v>53</x:v>
      </x:c>
      <x:c r="B83" s="9" t="str">
        <x:v>A2</x:v>
      </x:c>
      <x:c r="C83" s="11" t="n">
        <x:v>5</x:v>
      </x:c>
      <x:c r="D83" s="11" t="n">
        <x:v>1</x:v>
      </x:c>
      <x:c r="E83" s="9" t="str">
        <x:v>valid</x:v>
      </x:c>
      <x:c r="F83" s="9" t="str">
        <x:v>stop</x:v>
      </x:c>
      <x:c r="G83" s="9" t="str">
        <x:v>Baidu</x:v>
      </x:c>
      <x:c r="H83" s="15" t="n">
        <x:v>3519</x:v>
      </x:c>
      <x:c r="I83" s="15" t="n">
        <x:v>4600</x:v>
      </x:c>
      <x:c r="J83" s="15" t="n">
        <x:v>3694</x:v>
      </x:c>
      <x:c r="K83" s="17" t="n">
        <x:v>0.000812922432</x:v>
      </x:c>
      <x:c r="L83" s="15" t="n">
        <x:v>3007</x:v>
      </x:c>
      <x:c r="M83" s="9" t="str">
        <x:v>df4d928086161e1c1c6b9e8745f2828a49702d5ca0afc4ebd33d311fe88eb154</x:v>
      </x:c>
      <x:c r="N83" s="9" t="str">
        <x:v>S002</x:v>
      </x:c>
    </x:row>
    <x:row r="84" ht="22" customHeight="1">
      <x:c r="A84" s="10" t="n">
        <x:v>53</x:v>
      </x:c>
      <x:c r="B84" s="5" t="str">
        <x:v>A2</x:v>
      </x:c>
      <x:c r="C84" s="10" t="n">
        <x:v>6</x:v>
      </x:c>
      <x:c r="D84" s="10" t="n">
        <x:v>1</x:v>
      </x:c>
      <x:c r="E84" s="5" t="str">
        <x:v>valid</x:v>
      </x:c>
      <x:c r="F84" s="5" t="str">
        <x:v>stop</x:v>
      </x:c>
      <x:c r="G84" s="5" t="str">
        <x:v>Baidu</x:v>
      </x:c>
      <x:c r="H84" s="14" t="n">
        <x:v>3516</x:v>
      </x:c>
      <x:c r="I84" s="14" t="n">
        <x:v>4808</x:v>
      </x:c>
      <x:c r="J84" s="14" t="n">
        <x:v>3883</x:v>
      </x:c>
      <x:c r="K84" s="16" t="n">
        <x:v>0.000746624256</x:v>
      </x:c>
      <x:c r="L84" s="14" t="n">
        <x:v>2923</x:v>
      </x:c>
      <x:c r="M84" s="5" t="str">
        <x:v>3a87caf393828d41396dda16eafb703bca52cd2dcb437ddfe8d86bd90e9904b4</x:v>
      </x:c>
      <x:c r="N84" s="5" t="str">
        <x:v>S002</x:v>
      </x:c>
    </x:row>
    <x:row r="85" ht="22" customHeight="1">
      <x:c r="A85" s="11" t="n">
        <x:v>53</x:v>
      </x:c>
      <x:c r="B85" s="9" t="str">
        <x:v>A2</x:v>
      </x:c>
      <x:c r="C85" s="11" t="n">
        <x:v>7</x:v>
      </x:c>
      <x:c r="D85" s="11" t="n">
        <x:v>1</x:v>
      </x:c>
      <x:c r="E85" s="9" t="str">
        <x:v>valid</x:v>
      </x:c>
      <x:c r="F85" s="9" t="str">
        <x:v>stop</x:v>
      </x:c>
      <x:c r="G85" s="9" t="str">
        <x:v>Baidu</x:v>
      </x:c>
      <x:c r="H85" s="15" t="n">
        <x:v>3511</x:v>
      </x:c>
      <x:c r="I85" s="15" t="n">
        <x:v>5759</x:v>
      </x:c>
      <x:c r="J85" s="15" t="n">
        <x:v>4742</x:v>
      </x:c>
      <x:c r="K85" s="17" t="n">
        <x:v>0.000869853376</x:v>
      </x:c>
      <x:c r="L85" s="15" t="n">
        <x:v>3406</x:v>
      </x:c>
      <x:c r="M85" s="9" t="str">
        <x:v>de12714efcca7dc3078834a3bc2c26dd1657e45b815b9ccfe73a35f1926aaf2d</x:v>
      </x:c>
      <x:c r="N85" s="9" t="str">
        <x:v>S002</x:v>
      </x:c>
    </x:row>
  </x:sheetData>
  <x:pageMargins left="0.7" right="0.7" top="0.75" bottom="0.75" header="0.3" footer="0.3"/>
  <x:tableParts count="1">
    <x:tablePart xmlns:r="http://schemas.openxmlformats.org/officeDocument/2006/relationships" r:id="Re23b610f385847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25" hidden="0" customWidth="1"/>
    <x:col min="7" max="7" width="24" hidden="0" customWidth="1"/>
    <x:col min="8" max="8" width="24" hidden="0" customWidth="1"/>
    <x:col min="9" max="9" width="15" hidden="0" customWidth="1"/>
  </x:cols>
  <x:sheetData>
    <x:row r="1" ht="29" customHeight="1">
      <x:c r="A1" s="1" t="str">
        <x:v>S0 : information visible dans les traces</x:v>
      </x:c>
    </x:row>
    <x:row r="2" ht="21" customHeight="1">
      <x:c r="A2" s="2" t="str">
        <x:v>40 prompts A2. Incumbent absent = point du meilleur résultat absent des observations montrées.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Seed externe</x:v>
      </x:c>
      <x:c r="B5" s="8" t="str">
        <x:v>Slot</x:v>
      </x:c>
      <x:c r="C5" s="8" t="str">
        <x:v>JSON valide</x:v>
      </x:c>
      <x:c r="D5" s="8" t="str">
        <x:v>Caractères</x:v>
      </x:c>
      <x:c r="E5" s="8" t="str">
        <x:v>Tâches</x:v>
      </x:c>
      <x:c r="F5" s="8" t="str">
        <x:v>Observations montrées</x:v>
      </x:c>
      <x:c r="G5" s="8" t="str">
        <x:v>Incumbents absents</x:v>
      </x:c>
      <x:c r="H5" s="8" t="str">
        <x:v>Ratio valeurs brutes</x:v>
      </x:c>
      <x:c r="I5" s="8" t="str">
        <x:v>Source</x:v>
      </x:c>
    </x:row>
    <x:row r="6" ht="22" customHeight="1">
      <x:c r="A6" s="10" t="n">
        <x:v>11</x:v>
      </x:c>
      <x:c r="B6" s="10" t="n">
        <x:v>0</x:v>
      </x:c>
      <x:c r="C6" s="10" t="n">
        <x:v>1</x:v>
      </x:c>
      <x:c r="D6" s="14" t="n">
        <x:v>2894</x:v>
      </x:c>
      <x:c r="E6" s="10" t="n">
        <x:v>6</x:v>
      </x:c>
      <x:c r="F6" s="10" t="n">
        <x:v>24</x:v>
      </x:c>
      <x:c r="G6" s="10" t="n">
        <x:v>4</x:v>
      </x:c>
      <x:c r="H6" s="18" t="n">
        <x:v>9649.23300265732</x:v>
      </x:c>
      <x:c r="I6" s="5" t="str">
        <x:v>S002</x:v>
      </x:c>
    </x:row>
    <x:row r="7" ht="22" customHeight="1">
      <x:c r="A7" s="11" t="n">
        <x:v>11</x:v>
      </x:c>
      <x:c r="B7" s="11" t="n">
        <x:v>1</x:v>
      </x:c>
      <x:c r="C7" s="11" t="n">
        <x:v>1</x:v>
      </x:c>
      <x:c r="D7" s="15" t="n">
        <x:v>3513</x:v>
      </x:c>
      <x:c r="E7" s="11" t="n">
        <x:v>6</x:v>
      </x:c>
      <x:c r="F7" s="11" t="n">
        <x:v>24</x:v>
      </x:c>
      <x:c r="G7" s="11" t="n">
        <x:v>4</x:v>
      </x:c>
      <x:c r="H7" s="19" t="n">
        <x:v>9649.23300265732</x:v>
      </x:c>
      <x:c r="I7" s="9" t="str">
        <x:v>S002</x:v>
      </x:c>
    </x:row>
    <x:row r="8" ht="22" customHeight="1">
      <x:c r="A8" s="10" t="n">
        <x:v>11</x:v>
      </x:c>
      <x:c r="B8" s="10" t="n">
        <x:v>2</x:v>
      </x:c>
      <x:c r="C8" s="10" t="n">
        <x:v>1</x:v>
      </x:c>
      <x:c r="D8" s="14" t="n">
        <x:v>5981</x:v>
      </x:c>
      <x:c r="E8" s="10" t="n">
        <x:v>6</x:v>
      </x:c>
      <x:c r="F8" s="10" t="n">
        <x:v>24</x:v>
      </x:c>
      <x:c r="G8" s="10" t="n">
        <x:v>2</x:v>
      </x:c>
      <x:c r="H8" s="18" t="n">
        <x:v>5285803.234867668</x:v>
      </x:c>
      <x:c r="I8" s="5" t="str">
        <x:v>S002</x:v>
      </x:c>
    </x:row>
    <x:row r="9" ht="22" customHeight="1">
      <x:c r="A9" s="11" t="n">
        <x:v>11</x:v>
      </x:c>
      <x:c r="B9" s="11" t="n">
        <x:v>3</x:v>
      </x:c>
      <x:c r="C9" s="11" t="n">
        <x:v>1</x:v>
      </x:c>
      <x:c r="D9" s="15" t="n">
        <x:v>5795</x:v>
      </x:c>
      <x:c r="E9" s="11" t="n">
        <x:v>6</x:v>
      </x:c>
      <x:c r="F9" s="11" t="n">
        <x:v>24</x:v>
      </x:c>
      <x:c r="G9" s="11" t="n">
        <x:v>3</x:v>
      </x:c>
      <x:c r="H9" s="19" t="n">
        <x:v>79939.41645207272</x:v>
      </x:c>
      <x:c r="I9" s="9" t="str">
        <x:v>S002</x:v>
      </x:c>
    </x:row>
    <x:row r="10" ht="22" customHeight="1">
      <x:c r="A10" s="10" t="n">
        <x:v>11</x:v>
      </x:c>
      <x:c r="B10" s="10" t="n">
        <x:v>4</x:v>
      </x:c>
      <x:c r="C10" s="10" t="n">
        <x:v>1</x:v>
      </x:c>
      <x:c r="D10" s="14" t="n">
        <x:v>5815</x:v>
      </x:c>
      <x:c r="E10" s="10" t="n">
        <x:v>6</x:v>
      </x:c>
      <x:c r="F10" s="10" t="n">
        <x:v>24</x:v>
      </x:c>
      <x:c r="G10" s="10" t="n">
        <x:v>3</x:v>
      </x:c>
      <x:c r="H10" s="18" t="n">
        <x:v>79939.41645207272</x:v>
      </x:c>
      <x:c r="I10" s="5" t="str">
        <x:v>S002</x:v>
      </x:c>
    </x:row>
    <x:row r="11" ht="22" customHeight="1">
      <x:c r="A11" s="11" t="n">
        <x:v>11</x:v>
      </x:c>
      <x:c r="B11" s="11" t="n">
        <x:v>5</x:v>
      </x:c>
      <x:c r="C11" s="11" t="n">
        <x:v>1</x:v>
      </x:c>
      <x:c r="D11" s="15" t="n">
        <x:v>3512</x:v>
      </x:c>
      <x:c r="E11" s="11" t="n">
        <x:v>6</x:v>
      </x:c>
      <x:c r="F11" s="11" t="n">
        <x:v>24</x:v>
      </x:c>
      <x:c r="G11" s="11" t="n">
        <x:v>3</x:v>
      </x:c>
      <x:c r="H11" s="19" t="n">
        <x:v>79939.41645207272</x:v>
      </x:c>
      <x:c r="I11" s="9" t="str">
        <x:v>S002</x:v>
      </x:c>
    </x:row>
    <x:row r="12" ht="22" customHeight="1">
      <x:c r="A12" s="10" t="n">
        <x:v>11</x:v>
      </x:c>
      <x:c r="B12" s="10" t="n">
        <x:v>6</x:v>
      </x:c>
      <x:c r="C12" s="10" t="n">
        <x:v>1</x:v>
      </x:c>
      <x:c r="D12" s="14" t="n">
        <x:v>5789</x:v>
      </x:c>
      <x:c r="E12" s="10" t="n">
        <x:v>6</x:v>
      </x:c>
      <x:c r="F12" s="10" t="n">
        <x:v>24</x:v>
      </x:c>
      <x:c r="G12" s="10" t="n">
        <x:v>3</x:v>
      </x:c>
      <x:c r="H12" s="18" t="n">
        <x:v>79939.41645207272</x:v>
      </x:c>
      <x:c r="I12" s="5" t="str">
        <x:v>S002</x:v>
      </x:c>
    </x:row>
    <x:row r="13" ht="22" customHeight="1">
      <x:c r="A13" s="11" t="n">
        <x:v>11</x:v>
      </x:c>
      <x:c r="B13" s="11" t="n">
        <x:v>7</x:v>
      </x:c>
      <x:c r="C13" s="11" t="n">
        <x:v>1</x:v>
      </x:c>
      <x:c r="D13" s="15" t="n">
        <x:v>5827</x:v>
      </x:c>
      <x:c r="E13" s="11" t="n">
        <x:v>6</x:v>
      </x:c>
      <x:c r="F13" s="11" t="n">
        <x:v>24</x:v>
      </x:c>
      <x:c r="G13" s="11" t="n">
        <x:v>3</x:v>
      </x:c>
      <x:c r="H13" s="19" t="n">
        <x:v>79939.41645207272</x:v>
      </x:c>
      <x:c r="I13" s="9" t="str">
        <x:v>S002</x:v>
      </x:c>
    </x:row>
    <x:row r="14" ht="22" customHeight="1">
      <x:c r="A14" s="10" t="n">
        <x:v>23</x:v>
      </x:c>
      <x:c r="B14" s="10" t="n">
        <x:v>0</x:v>
      </x:c>
      <x:c r="C14" s="10" t="n">
        <x:v>1</x:v>
      </x:c>
      <x:c r="D14" s="14" t="n">
        <x:v>2982</x:v>
      </x:c>
      <x:c r="E14" s="10" t="n">
        <x:v>6</x:v>
      </x:c>
      <x:c r="F14" s="10" t="n">
        <x:v>24</x:v>
      </x:c>
      <x:c r="G14" s="10" t="n">
        <x:v>6</x:v>
      </x:c>
      <x:c r="H14" s="18" t="n">
        <x:v>9104.26768877532</x:v>
      </x:c>
      <x:c r="I14" s="5" t="str">
        <x:v>S002</x:v>
      </x:c>
    </x:row>
    <x:row r="15" ht="22" customHeight="1">
      <x:c r="A15" s="11" t="n">
        <x:v>23</x:v>
      </x:c>
      <x:c r="B15" s="11" t="n">
        <x:v>1</x:v>
      </x:c>
      <x:c r="C15" s="11" t="n">
        <x:v>1</x:v>
      </x:c>
      <x:c r="D15" s="15" t="n">
        <x:v>5969</x:v>
      </x:c>
      <x:c r="E15" s="11" t="n">
        <x:v>6</x:v>
      </x:c>
      <x:c r="F15" s="11" t="n">
        <x:v>24</x:v>
      </x:c>
      <x:c r="G15" s="11" t="n">
        <x:v>6</x:v>
      </x:c>
      <x:c r="H15" s="19" t="n">
        <x:v>5487.472013926821</x:v>
      </x:c>
      <x:c r="I15" s="9" t="str">
        <x:v>S002</x:v>
      </x:c>
    </x:row>
    <x:row r="16" ht="22" customHeight="1">
      <x:c r="A16" s="10" t="n">
        <x:v>23</x:v>
      </x:c>
      <x:c r="B16" s="10" t="n">
        <x:v>2</x:v>
      </x:c>
      <x:c r="C16" s="10" t="n">
        <x:v>1</x:v>
      </x:c>
      <x:c r="D16" s="14" t="n">
        <x:v>6001</x:v>
      </x:c>
      <x:c r="E16" s="10" t="n">
        <x:v>6</x:v>
      </x:c>
      <x:c r="F16" s="10" t="n">
        <x:v>24</x:v>
      </x:c>
      <x:c r="G16" s="10" t="n">
        <x:v>3</x:v>
      </x:c>
      <x:c r="H16" s="18" t="n">
        <x:v>659132.6431792789</x:v>
      </x:c>
      <x:c r="I16" s="5" t="str">
        <x:v>S002</x:v>
      </x:c>
    </x:row>
    <x:row r="17" ht="22" customHeight="1">
      <x:c r="A17" s="11" t="n">
        <x:v>23</x:v>
      </x:c>
      <x:c r="B17" s="11" t="n">
        <x:v>3</x:v>
      </x:c>
      <x:c r="C17" s="11" t="n">
        <x:v>1</x:v>
      </x:c>
      <x:c r="D17" s="15" t="n">
        <x:v>3627</x:v>
      </x:c>
      <x:c r="E17" s="11" t="n">
        <x:v>6</x:v>
      </x:c>
      <x:c r="F17" s="11" t="n">
        <x:v>24</x:v>
      </x:c>
      <x:c r="G17" s="11" t="n">
        <x:v>3</x:v>
      </x:c>
      <x:c r="H17" s="19" t="n">
        <x:v>659132.6431792789</x:v>
      </x:c>
      <x:c r="I17" s="9" t="str">
        <x:v>S002</x:v>
      </x:c>
    </x:row>
    <x:row r="18" ht="22" customHeight="1">
      <x:c r="A18" s="10" t="n">
        <x:v>23</x:v>
      </x:c>
      <x:c r="B18" s="10" t="n">
        <x:v>4</x:v>
      </x:c>
      <x:c r="C18" s="10" t="n">
        <x:v>1</x:v>
      </x:c>
      <x:c r="D18" s="14" t="n">
        <x:v>5975</x:v>
      </x:c>
      <x:c r="E18" s="10" t="n">
        <x:v>6</x:v>
      </x:c>
      <x:c r="F18" s="10" t="n">
        <x:v>24</x:v>
      </x:c>
      <x:c r="G18" s="10" t="n">
        <x:v>3</x:v>
      </x:c>
      <x:c r="H18" s="18" t="n">
        <x:v>659132.6431792789</x:v>
      </x:c>
      <x:c r="I18" s="5" t="str">
        <x:v>S002</x:v>
      </x:c>
    </x:row>
    <x:row r="19" ht="22" customHeight="1">
      <x:c r="A19" s="11" t="n">
        <x:v>23</x:v>
      </x:c>
      <x:c r="B19" s="11" t="n">
        <x:v>5</x:v>
      </x:c>
      <x:c r="C19" s="11" t="n">
        <x:v>1</x:v>
      </x:c>
      <x:c r="D19" s="15" t="n">
        <x:v>5975</x:v>
      </x:c>
      <x:c r="E19" s="11" t="n">
        <x:v>6</x:v>
      </x:c>
      <x:c r="F19" s="11" t="n">
        <x:v>24</x:v>
      </x:c>
      <x:c r="G19" s="11" t="n">
        <x:v>3</x:v>
      </x:c>
      <x:c r="H19" s="19" t="n">
        <x:v>659132.6431792789</x:v>
      </x:c>
      <x:c r="I19" s="9" t="str">
        <x:v>S002</x:v>
      </x:c>
    </x:row>
    <x:row r="20" ht="22" customHeight="1">
      <x:c r="A20" s="10" t="n">
        <x:v>23</x:v>
      </x:c>
      <x:c r="B20" s="10" t="n">
        <x:v>6</x:v>
      </x:c>
      <x:c r="C20" s="10" t="n">
        <x:v>1</x:v>
      </x:c>
      <x:c r="D20" s="14" t="n">
        <x:v>3615</x:v>
      </x:c>
      <x:c r="E20" s="10" t="n">
        <x:v>6</x:v>
      </x:c>
      <x:c r="F20" s="10" t="n">
        <x:v>24</x:v>
      </x:c>
      <x:c r="G20" s="10" t="n">
        <x:v>3</x:v>
      </x:c>
      <x:c r="H20" s="18" t="n">
        <x:v>659132.6431792789</x:v>
      </x:c>
      <x:c r="I20" s="5" t="str">
        <x:v>S002</x:v>
      </x:c>
    </x:row>
    <x:row r="21" ht="22" customHeight="1">
      <x:c r="A21" s="11" t="n">
        <x:v>23</x:v>
      </x:c>
      <x:c r="B21" s="11" t="n">
        <x:v>7</x:v>
      </x:c>
      <x:c r="C21" s="11" t="n">
        <x:v>1</x:v>
      </x:c>
      <x:c r="D21" s="15" t="n">
        <x:v>5942</x:v>
      </x:c>
      <x:c r="E21" s="11" t="n">
        <x:v>6</x:v>
      </x:c>
      <x:c r="F21" s="11" t="n">
        <x:v>24</x:v>
      </x:c>
      <x:c r="G21" s="11" t="n">
        <x:v>3</x:v>
      </x:c>
      <x:c r="H21" s="19" t="n">
        <x:v>659132.6431792789</x:v>
      </x:c>
      <x:c r="I21" s="9" t="str">
        <x:v>S002</x:v>
      </x:c>
    </x:row>
    <x:row r="22" ht="22" customHeight="1">
      <x:c r="A22" s="10" t="n">
        <x:v>37</x:v>
      </x:c>
      <x:c r="B22" s="10" t="n">
        <x:v>0</x:v>
      </x:c>
      <x:c r="C22" s="10" t="n">
        <x:v>1</x:v>
      </x:c>
      <x:c r="D22" s="14" t="n">
        <x:v>2943</x:v>
      </x:c>
      <x:c r="E22" s="10" t="n">
        <x:v>6</x:v>
      </x:c>
      <x:c r="F22" s="10" t="n">
        <x:v>24</x:v>
      </x:c>
      <x:c r="G22" s="10" t="n">
        <x:v>5</x:v>
      </x:c>
      <x:c r="H22" s="18" t="n">
        <x:v>1976.785787014338</x:v>
      </x:c>
      <x:c r="I22" s="5" t="str">
        <x:v>S002</x:v>
      </x:c>
    </x:row>
    <x:row r="23" ht="22" customHeight="1">
      <x:c r="A23" s="11" t="n">
        <x:v>37</x:v>
      </x:c>
      <x:c r="B23" s="11" t="n">
        <x:v>1</x:v>
      </x:c>
      <x:c r="C23" s="11" t="n">
        <x:v>1</x:v>
      </x:c>
      <x:c r="D23" s="15" t="n">
        <x:v>5646</x:v>
      </x:c>
      <x:c r="E23" s="11" t="n">
        <x:v>6</x:v>
      </x:c>
      <x:c r="F23" s="11" t="n">
        <x:v>24</x:v>
      </x:c>
      <x:c r="G23" s="11" t="n">
        <x:v>5</x:v>
      </x:c>
      <x:c r="H23" s="19" t="n">
        <x:v>1976.785787014338</x:v>
      </x:c>
      <x:c r="I23" s="9" t="str">
        <x:v>S002</x:v>
      </x:c>
    </x:row>
    <x:row r="24" ht="22" customHeight="1">
      <x:c r="A24" s="10" t="n">
        <x:v>37</x:v>
      </x:c>
      <x:c r="B24" s="10" t="n">
        <x:v>2</x:v>
      </x:c>
      <x:c r="C24" s="10" t="n">
        <x:v>1</x:v>
      </x:c>
      <x:c r="D24" s="14" t="n">
        <x:v>5932</x:v>
      </x:c>
      <x:c r="E24" s="10" t="n">
        <x:v>6</x:v>
      </x:c>
      <x:c r="F24" s="10" t="n">
        <x:v>24</x:v>
      </x:c>
      <x:c r="G24" s="10" t="n">
        <x:v>5</x:v>
      </x:c>
      <x:c r="H24" s="18" t="n">
        <x:v>1976.785787014338</x:v>
      </x:c>
      <x:c r="I24" s="5" t="str">
        <x:v>S002</x:v>
      </x:c>
    </x:row>
    <x:row r="25" ht="22" customHeight="1">
      <x:c r="A25" s="11" t="n">
        <x:v>37</x:v>
      </x:c>
      <x:c r="B25" s="11" t="n">
        <x:v>3</x:v>
      </x:c>
      <x:c r="C25" s="11" t="n">
        <x:v>1</x:v>
      </x:c>
      <x:c r="D25" s="15" t="n">
        <x:v>3550</x:v>
      </x:c>
      <x:c r="E25" s="11" t="n">
        <x:v>6</x:v>
      </x:c>
      <x:c r="F25" s="11" t="n">
        <x:v>24</x:v>
      </x:c>
      <x:c r="G25" s="11" t="n">
        <x:v>5</x:v>
      </x:c>
      <x:c r="H25" s="19" t="n">
        <x:v>1976.785787014338</x:v>
      </x:c>
      <x:c r="I25" s="9" t="str">
        <x:v>S002</x:v>
      </x:c>
    </x:row>
    <x:row r="26" ht="22" customHeight="1">
      <x:c r="A26" s="10" t="n">
        <x:v>37</x:v>
      </x:c>
      <x:c r="B26" s="10" t="n">
        <x:v>4</x:v>
      </x:c>
      <x:c r="C26" s="10" t="n">
        <x:v>1</x:v>
      </x:c>
      <x:c r="D26" s="14" t="n">
        <x:v>3562</x:v>
      </x:c>
      <x:c r="E26" s="10" t="n">
        <x:v>6</x:v>
      </x:c>
      <x:c r="F26" s="10" t="n">
        <x:v>24</x:v>
      </x:c>
      <x:c r="G26" s="10" t="n">
        <x:v>5</x:v>
      </x:c>
      <x:c r="H26" s="18" t="n">
        <x:v>1976.785787014338</x:v>
      </x:c>
      <x:c r="I26" s="5" t="str">
        <x:v>S002</x:v>
      </x:c>
    </x:row>
    <x:row r="27" ht="22" customHeight="1">
      <x:c r="A27" s="11" t="n">
        <x:v>37</x:v>
      </x:c>
      <x:c r="B27" s="11" t="n">
        <x:v>5</x:v>
      </x:c>
      <x:c r="C27" s="11" t="n">
        <x:v>1</x:v>
      </x:c>
      <x:c r="D27" s="15" t="n">
        <x:v>5804</x:v>
      </x:c>
      <x:c r="E27" s="11" t="n">
        <x:v>6</x:v>
      </x:c>
      <x:c r="F27" s="11" t="n">
        <x:v>24</x:v>
      </x:c>
      <x:c r="G27" s="11" t="n">
        <x:v>5</x:v>
      </x:c>
      <x:c r="H27" s="19" t="n">
        <x:v>1976.785787014338</x:v>
      </x:c>
      <x:c r="I27" s="9" t="str">
        <x:v>S002</x:v>
      </x:c>
    </x:row>
    <x:row r="28" ht="22" customHeight="1">
      <x:c r="A28" s="10" t="n">
        <x:v>37</x:v>
      </x:c>
      <x:c r="B28" s="10" t="n">
        <x:v>6</x:v>
      </x:c>
      <x:c r="C28" s="10" t="n">
        <x:v>1</x:v>
      </x:c>
      <x:c r="D28" s="14" t="n">
        <x:v>3550</x:v>
      </x:c>
      <x:c r="E28" s="10" t="n">
        <x:v>6</x:v>
      </x:c>
      <x:c r="F28" s="10" t="n">
        <x:v>24</x:v>
      </x:c>
      <x:c r="G28" s="10" t="n">
        <x:v>5</x:v>
      </x:c>
      <x:c r="H28" s="18" t="n">
        <x:v>1976.785787014338</x:v>
      </x:c>
      <x:c r="I28" s="5" t="str">
        <x:v>S002</x:v>
      </x:c>
    </x:row>
    <x:row r="29" ht="22" customHeight="1">
      <x:c r="A29" s="11" t="n">
        <x:v>37</x:v>
      </x:c>
      <x:c r="B29" s="11" t="n">
        <x:v>7</x:v>
      </x:c>
      <x:c r="C29" s="11" t="n">
        <x:v>1</x:v>
      </x:c>
      <x:c r="D29" s="15" t="n">
        <x:v>3550</x:v>
      </x:c>
      <x:c r="E29" s="11" t="n">
        <x:v>6</x:v>
      </x:c>
      <x:c r="F29" s="11" t="n">
        <x:v>24</x:v>
      </x:c>
      <x:c r="G29" s="11" t="n">
        <x:v>5</x:v>
      </x:c>
      <x:c r="H29" s="19" t="n">
        <x:v>1976.785787014338</x:v>
      </x:c>
      <x:c r="I29" s="9" t="str">
        <x:v>S002</x:v>
      </x:c>
    </x:row>
    <x:row r="30" ht="22" customHeight="1">
      <x:c r="A30" s="10" t="n">
        <x:v>41</x:v>
      </x:c>
      <x:c r="B30" s="10" t="n">
        <x:v>0</x:v>
      </x:c>
      <x:c r="C30" s="10" t="n">
        <x:v>1</x:v>
      </x:c>
      <x:c r="D30" s="14" t="n">
        <x:v>2953</x:v>
      </x:c>
      <x:c r="E30" s="10" t="n">
        <x:v>6</x:v>
      </x:c>
      <x:c r="F30" s="10" t="n">
        <x:v>24</x:v>
      </x:c>
      <x:c r="G30" s="10" t="n">
        <x:v>5</x:v>
      </x:c>
      <x:c r="H30" s="18" t="n">
        <x:v>4879.450151662909</x:v>
      </x:c>
      <x:c r="I30" s="5" t="str">
        <x:v>S002</x:v>
      </x:c>
    </x:row>
    <x:row r="31" ht="22" customHeight="1">
      <x:c r="A31" s="11" t="n">
        <x:v>41</x:v>
      </x:c>
      <x:c r="B31" s="11" t="n">
        <x:v>1</x:v>
      </x:c>
      <x:c r="C31" s="11" t="n">
        <x:v>1</x:v>
      </x:c>
      <x:c r="D31" s="15" t="n">
        <x:v>5860</x:v>
      </x:c>
      <x:c r="E31" s="11" t="n">
        <x:v>6</x:v>
      </x:c>
      <x:c r="F31" s="11" t="n">
        <x:v>24</x:v>
      </x:c>
      <x:c r="G31" s="11" t="n">
        <x:v>5</x:v>
      </x:c>
      <x:c r="H31" s="19" t="n">
        <x:v>4879.450151662909</x:v>
      </x:c>
      <x:c r="I31" s="9" t="str">
        <x:v>S002</x:v>
      </x:c>
    </x:row>
    <x:row r="32" ht="22" customHeight="1">
      <x:c r="A32" s="10" t="n">
        <x:v>41</x:v>
      </x:c>
      <x:c r="B32" s="10" t="n">
        <x:v>2</x:v>
      </x:c>
      <x:c r="C32" s="10" t="n">
        <x:v>1</x:v>
      </x:c>
      <x:c r="D32" s="14" t="n">
        <x:v>3560</x:v>
      </x:c>
      <x:c r="E32" s="10" t="n">
        <x:v>6</x:v>
      </x:c>
      <x:c r="F32" s="10" t="n">
        <x:v>24</x:v>
      </x:c>
      <x:c r="G32" s="10" t="n">
        <x:v>5</x:v>
      </x:c>
      <x:c r="H32" s="18" t="n">
        <x:v>4879.450151662909</x:v>
      </x:c>
      <x:c r="I32" s="5" t="str">
        <x:v>S002</x:v>
      </x:c>
    </x:row>
    <x:row r="33" ht="22" customHeight="1">
      <x:c r="A33" s="11" t="n">
        <x:v>41</x:v>
      </x:c>
      <x:c r="B33" s="11" t="n">
        <x:v>3</x:v>
      </x:c>
      <x:c r="C33" s="11" t="n">
        <x:v>1</x:v>
      </x:c>
      <x:c r="D33" s="15" t="n">
        <x:v>5944</x:v>
      </x:c>
      <x:c r="E33" s="11" t="n">
        <x:v>6</x:v>
      </x:c>
      <x:c r="F33" s="11" t="n">
        <x:v>24</x:v>
      </x:c>
      <x:c r="G33" s="11" t="n">
        <x:v>5</x:v>
      </x:c>
      <x:c r="H33" s="19" t="n">
        <x:v>4879.450151662909</x:v>
      </x:c>
      <x:c r="I33" s="9" t="str">
        <x:v>S002</x:v>
      </x:c>
    </x:row>
    <x:row r="34" ht="22" customHeight="1">
      <x:c r="A34" s="10" t="n">
        <x:v>41</x:v>
      </x:c>
      <x:c r="B34" s="10" t="n">
        <x:v>4</x:v>
      </x:c>
      <x:c r="C34" s="10" t="n">
        <x:v>1</x:v>
      </x:c>
      <x:c r="D34" s="14" t="n">
        <x:v>5488</x:v>
      </x:c>
      <x:c r="E34" s="10" t="n">
        <x:v>6</x:v>
      </x:c>
      <x:c r="F34" s="10" t="n">
        <x:v>24</x:v>
      </x:c>
      <x:c r="G34" s="10" t="n">
        <x:v>5</x:v>
      </x:c>
      <x:c r="H34" s="18" t="n">
        <x:v>4879.450151662909</x:v>
      </x:c>
      <x:c r="I34" s="5" t="str">
        <x:v>S002</x:v>
      </x:c>
    </x:row>
    <x:row r="35" ht="22" customHeight="1">
      <x:c r="A35" s="11" t="n">
        <x:v>41</x:v>
      </x:c>
      <x:c r="B35" s="11" t="n">
        <x:v>5</x:v>
      </x:c>
      <x:c r="C35" s="11" t="n">
        <x:v>1</x:v>
      </x:c>
      <x:c r="D35" s="15" t="n">
        <x:v>5995</x:v>
      </x:c>
      <x:c r="E35" s="11" t="n">
        <x:v>6</x:v>
      </x:c>
      <x:c r="F35" s="11" t="n">
        <x:v>24</x:v>
      </x:c>
      <x:c r="G35" s="11" t="n">
        <x:v>2</x:v>
      </x:c>
      <x:c r="H35" s="19" t="n">
        <x:v>509326784019014460</x:v>
      </x:c>
      <x:c r="I35" s="9" t="str">
        <x:v>S002</x:v>
      </x:c>
    </x:row>
    <x:row r="36" ht="22" customHeight="1">
      <x:c r="A36" s="10" t="n">
        <x:v>41</x:v>
      </x:c>
      <x:c r="B36" s="10" t="n">
        <x:v>6</x:v>
      </x:c>
      <x:c r="C36" s="10" t="n">
        <x:v>1</x:v>
      </x:c>
      <x:c r="D36" s="14" t="n">
        <x:v>5765</x:v>
      </x:c>
      <x:c r="E36" s="10" t="n">
        <x:v>6</x:v>
      </x:c>
      <x:c r="F36" s="10" t="n">
        <x:v>24</x:v>
      </x:c>
      <x:c r="G36" s="10" t="n">
        <x:v>2</x:v>
      </x:c>
      <x:c r="H36" s="18" t="n">
        <x:v>509326784019014460</x:v>
      </x:c>
      <x:c r="I36" s="5" t="str">
        <x:v>S002</x:v>
      </x:c>
    </x:row>
    <x:row r="37" ht="22" customHeight="1">
      <x:c r="A37" s="11" t="n">
        <x:v>41</x:v>
      </x:c>
      <x:c r="B37" s="11" t="n">
        <x:v>7</x:v>
      </x:c>
      <x:c r="C37" s="11" t="n">
        <x:v>1</x:v>
      </x:c>
      <x:c r="D37" s="15" t="n">
        <x:v>3612</x:v>
      </x:c>
      <x:c r="E37" s="11" t="n">
        <x:v>6</x:v>
      </x:c>
      <x:c r="F37" s="11" t="n">
        <x:v>24</x:v>
      </x:c>
      <x:c r="G37" s="11" t="n">
        <x:v>2</x:v>
      </x:c>
      <x:c r="H37" s="19" t="n">
        <x:v>509326784019014460</x:v>
      </x:c>
      <x:c r="I37" s="9" t="str">
        <x:v>S002</x:v>
      </x:c>
    </x:row>
    <x:row r="38" ht="22" customHeight="1">
      <x:c r="A38" s="10" t="n">
        <x:v>53</x:v>
      </x:c>
      <x:c r="B38" s="10" t="n">
        <x:v>0</x:v>
      </x:c>
      <x:c r="C38" s="10" t="n">
        <x:v>1</x:v>
      </x:c>
      <x:c r="D38" s="14" t="n">
        <x:v>2926</x:v>
      </x:c>
      <x:c r="E38" s="10" t="n">
        <x:v>6</x:v>
      </x:c>
      <x:c r="F38" s="10" t="n">
        <x:v>24</x:v>
      </x:c>
      <x:c r="G38" s="10" t="n">
        <x:v>5</x:v>
      </x:c>
      <x:c r="H38" s="18" t="n">
        <x:v>6659.101113018009</x:v>
      </x:c>
      <x:c r="I38" s="5" t="str">
        <x:v>S002</x:v>
      </x:c>
    </x:row>
    <x:row r="39" ht="22" customHeight="1">
      <x:c r="A39" s="11" t="n">
        <x:v>53</x:v>
      </x:c>
      <x:c r="B39" s="11" t="n">
        <x:v>1</x:v>
      </x:c>
      <x:c r="C39" s="11" t="n">
        <x:v>1</x:v>
      </x:c>
      <x:c r="D39" s="15" t="n">
        <x:v>5898</x:v>
      </x:c>
      <x:c r="E39" s="11" t="n">
        <x:v>6</x:v>
      </x:c>
      <x:c r="F39" s="11" t="n">
        <x:v>24</x:v>
      </x:c>
      <x:c r="G39" s="11" t="n">
        <x:v>5</x:v>
      </x:c>
      <x:c r="H39" s="19" t="n">
        <x:v>6659.101113018009</x:v>
      </x:c>
      <x:c r="I39" s="9" t="str">
        <x:v>S002</x:v>
      </x:c>
    </x:row>
    <x:row r="40" ht="22" customHeight="1">
      <x:c r="A40" s="10" t="n">
        <x:v>53</x:v>
      </x:c>
      <x:c r="B40" s="10" t="n">
        <x:v>2</x:v>
      </x:c>
      <x:c r="C40" s="10" t="n">
        <x:v>1</x:v>
      </x:c>
      <x:c r="D40" s="14" t="n">
        <x:v>5895</x:v>
      </x:c>
      <x:c r="E40" s="10" t="n">
        <x:v>6</x:v>
      </x:c>
      <x:c r="F40" s="10" t="n">
        <x:v>24</x:v>
      </x:c>
      <x:c r="G40" s="10" t="n">
        <x:v>5</x:v>
      </x:c>
      <x:c r="H40" s="18" t="n">
        <x:v>6659.101113018009</x:v>
      </x:c>
      <x:c r="I40" s="5" t="str">
        <x:v>S002</x:v>
      </x:c>
    </x:row>
    <x:row r="41" ht="22" customHeight="1">
      <x:c r="A41" s="11" t="n">
        <x:v>53</x:v>
      </x:c>
      <x:c r="B41" s="11" t="n">
        <x:v>3</x:v>
      </x:c>
      <x:c r="C41" s="11" t="n">
        <x:v>1</x:v>
      </x:c>
      <x:c r="D41" s="15" t="n">
        <x:v>3545</x:v>
      </x:c>
      <x:c r="E41" s="11" t="n">
        <x:v>6</x:v>
      </x:c>
      <x:c r="F41" s="11" t="n">
        <x:v>24</x:v>
      </x:c>
      <x:c r="G41" s="11" t="n">
        <x:v>5</x:v>
      </x:c>
      <x:c r="H41" s="19" t="n">
        <x:v>6659.101113018009</x:v>
      </x:c>
      <x:c r="I41" s="9" t="str">
        <x:v>S002</x:v>
      </x:c>
    </x:row>
    <x:row r="42" ht="22" customHeight="1">
      <x:c r="A42" s="10" t="n">
        <x:v>53</x:v>
      </x:c>
      <x:c r="B42" s="10" t="n">
        <x:v>4</x:v>
      </x:c>
      <x:c r="C42" s="10" t="n">
        <x:v>1</x:v>
      </x:c>
      <x:c r="D42" s="14" t="n">
        <x:v>5395</x:v>
      </x:c>
      <x:c r="E42" s="10" t="n">
        <x:v>6</x:v>
      </x:c>
      <x:c r="F42" s="10" t="n">
        <x:v>24</x:v>
      </x:c>
      <x:c r="G42" s="10" t="n">
        <x:v>6</x:v>
      </x:c>
      <x:c r="H42" s="18" t="n">
        <x:v>47570.11857889023</x:v>
      </x:c>
      <x:c r="I42" s="5" t="str">
        <x:v>S002</x:v>
      </x:c>
    </x:row>
    <x:row r="43" ht="22" customHeight="1">
      <x:c r="A43" s="11" t="n">
        <x:v>53</x:v>
      </x:c>
      <x:c r="B43" s="11" t="n">
        <x:v>5</x:v>
      </x:c>
      <x:c r="C43" s="11" t="n">
        <x:v>1</x:v>
      </x:c>
      <x:c r="D43" s="15" t="n">
        <x:v>5455</x:v>
      </x:c>
      <x:c r="E43" s="11" t="n">
        <x:v>6</x:v>
      </x:c>
      <x:c r="F43" s="11" t="n">
        <x:v>24</x:v>
      </x:c>
      <x:c r="G43" s="11" t="n">
        <x:v>5</x:v>
      </x:c>
      <x:c r="H43" s="19" t="n">
        <x:v>9570.040685171401</x:v>
      </x:c>
      <x:c r="I43" s="9" t="str">
        <x:v>S002</x:v>
      </x:c>
    </x:row>
    <x:row r="44" ht="22" customHeight="1">
      <x:c r="A44" s="10" t="n">
        <x:v>53</x:v>
      </x:c>
      <x:c r="B44" s="10" t="n">
        <x:v>6</x:v>
      </x:c>
      <x:c r="C44" s="10" t="n">
        <x:v>1</x:v>
      </x:c>
      <x:c r="D44" s="14" t="n">
        <x:v>5450</x:v>
      </x:c>
      <x:c r="E44" s="10" t="n">
        <x:v>6</x:v>
      </x:c>
      <x:c r="F44" s="10" t="n">
        <x:v>24</x:v>
      </x:c>
      <x:c r="G44" s="10" t="n">
        <x:v>5</x:v>
      </x:c>
      <x:c r="H44" s="18" t="n">
        <x:v>9570.040685171401</x:v>
      </x:c>
      <x:c r="I44" s="5" t="str">
        <x:v>S002</x:v>
      </x:c>
    </x:row>
    <x:row r="45" ht="22" customHeight="1">
      <x:c r="A45" s="11" t="n">
        <x:v>53</x:v>
      </x:c>
      <x:c r="B45" s="11" t="n">
        <x:v>7</x:v>
      </x:c>
      <x:c r="C45" s="11" t="n">
        <x:v>1</x:v>
      </x:c>
      <x:c r="D45" s="15" t="n">
        <x:v>5436</x:v>
      </x:c>
      <x:c r="E45" s="11" t="n">
        <x:v>6</x:v>
      </x:c>
      <x:c r="F45" s="11" t="n">
        <x:v>24</x:v>
      </x:c>
      <x:c r="G45" s="11" t="n">
        <x:v>5</x:v>
      </x:c>
      <x:c r="H45" s="19" t="n">
        <x:v>9570.040685171401</x:v>
      </x:c>
      <x:c r="I45" s="9" t="str">
        <x:v>S002</x:v>
      </x:c>
    </x:row>
    <x:row r="49" ht="44" customHeight="1">
      <x:c r="A49" s="8" t="str">
        <x:v>Tâches résumées</x:v>
      </x:c>
      <x:c r="B49" s="8" t="str">
        <x:v>Incumbents absents</x:v>
      </x:c>
      <x:c r="C49" s="8" t="str">
        <x:v>Fraction absente</x:v>
      </x:c>
      <x:c r="D49" s="8" t="str">
        <x:v>Source</x:v>
      </x:c>
    </x:row>
    <x:row r="50" ht="22" customHeight="1">
      <x:c r="A50" s="10" t="n">
        <x:f>SUM(E6:E45)</x:f>
        <x:v>240</x:v>
      </x:c>
      <x:c r="B50" s="10" t="n">
        <x:f>SUM(G6:G45)</x:f>
        <x:v>167</x:v>
      </x:c>
      <x:c r="C50" s="12" t="n">
        <x:f>B50/A50</x:f>
        <x:v>0.6958333333333333</x:v>
      </x:c>
      <x:c r="D50" s="5" t="str">
        <x:v>S002</x:v>
      </x:c>
    </x:row>
  </x:sheetData>
  <x:pageMargins left="0.7" right="0.7" top="0.75" bottom="0.75" header="0.3" footer="0.3"/>
  <x:tableParts count="2">
    <x:tablePart xmlns:r="http://schemas.openxmlformats.org/officeDocument/2006/relationships" r:id="R9b1048861c084853"/>
    <x:tablePart xmlns:r="http://schemas.openxmlformats.org/officeDocument/2006/relationships" r:id="Rd1272da9921d40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5" hidden="0" customWidth="1"/>
    <x:col min="4" max="4" width="15" hidden="0" customWidth="1"/>
    <x:col min="5" max="5" width="15" hidden="0" customWidth="1"/>
    <x:col min="6" max="6" width="23" hidden="0" customWidth="1"/>
    <x:col min="7" max="7" width="15" hidden="0" customWidth="1"/>
    <x:col min="8" max="8" width="24" hidden="0" customWidth="1"/>
    <x:col min="9" max="9" width="25" hidden="0" customWidth="1"/>
    <x:col min="10" max="10" width="28" hidden="0" customWidth="1"/>
    <x:col min="11" max="11" width="15" hidden="0" customWidth="1"/>
  </x:cols>
  <x:sheetData>
    <x:row r="1" ht="29" customHeight="1">
      <x:c r="A1" s="1" t="str">
        <x:v>S0 : sélection train et validation</x:v>
      </x:c>
    </x:row>
    <x:row r="2" ht="21" customHeight="1">
      <x:c r="A2" s="2" t="str">
        <x:v>10 pools EXP-15. Audit rétrospectif, pas une nouvelle règle de sélection.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Seed externe</x:v>
      </x:c>
      <x:c r="B5" s="8" t="str">
        <x:v>Bras</x:v>
      </x:c>
      <x:c r="C5" s="8" t="str">
        <x:v>Éligibles seed inclus</x:v>
      </x:c>
      <x:c r="D5" s="8" t="str">
        <x:v>Index sélectionné</x:v>
      </x:c>
      <x:c r="E5" s="8" t="str">
        <x:v>Meilleur index train</x:v>
      </x:c>
      <x:c r="F5" s="8" t="str">
        <x:v>AUC train sélection</x:v>
      </x:c>
      <x:c r="G5" s="8" t="str">
        <x:v>AUC validation</x:v>
      </x:c>
      <x:c r="H5" s="8" t="str">
        <x:v>Rang train sélection</x:v>
      </x:c>
      <x:c r="I5" s="8" t="str">
        <x:v>Spearman train-val</x:v>
      </x:c>
      <x:c r="J5" s="8" t="str">
        <x:v>Changements retrait strate</x:v>
      </x:c>
      <x:c r="K5" s="8" t="str">
        <x:v>Source</x:v>
      </x:c>
    </x:row>
    <x:row r="6" ht="22" customHeight="1">
      <x:c r="A6" s="10" t="n">
        <x:v>11</x:v>
      </x:c>
      <x:c r="B6" s="5" t="str">
        <x:v>A1</x:v>
      </x:c>
      <x:c r="C6" s="10" t="n">
        <x:v>5</x:v>
      </x:c>
      <x:c r="D6" s="10" t="n">
        <x:v>1</x:v>
      </x:c>
      <x:c r="E6" s="10" t="n">
        <x:v>1</x:v>
      </x:c>
      <x:c r="F6" s="5" t="n">
        <x:v>0.1196223848234874</x:v>
      </x:c>
      <x:c r="G6" s="5" t="n">
        <x:v>0.07633305908068094</x:v>
      </x:c>
      <x:c r="H6" s="10" t="n">
        <x:v>1</x:v>
      </x:c>
      <x:c r="I6" s="5" t="n">
        <x:v>1</x:v>
      </x:c>
      <x:c r="J6" s="10" t="n">
        <x:v>1</x:v>
      </x:c>
      <x:c r="K6" s="5" t="str">
        <x:v>S002</x:v>
      </x:c>
    </x:row>
    <x:row r="7" ht="22" customHeight="1">
      <x:c r="A7" s="11" t="n">
        <x:v>11</x:v>
      </x:c>
      <x:c r="B7" s="9" t="str">
        <x:v>A2</x:v>
      </x:c>
      <x:c r="C7" s="11" t="n">
        <x:v>7</x:v>
      </x:c>
      <x:c r="D7" s="11" t="n">
        <x:v>-1</x:v>
      </x:c>
      <x:c r="E7" s="11" t="n">
        <x:v>2</x:v>
      </x:c>
      <x:c r="F7" s="9" t="n">
        <x:v>0.2079118387075305</x:v>
      </x:c>
      <x:c r="G7" s="9" t="n">
        <x:v>0.09524949728100492</x:v>
      </x:c>
      <x:c r="H7" s="11" t="n">
        <x:v>7</x:v>
      </x:c>
      <x:c r="I7" s="9" t="n">
        <x:v>0</x:v>
      </x:c>
      <x:c r="J7" s="11" t="n">
        <x:v>0</x:v>
      </x:c>
      <x:c r="K7" s="9" t="str">
        <x:v>S002</x:v>
      </x:c>
    </x:row>
    <x:row r="8" ht="22" customHeight="1">
      <x:c r="A8" s="10" t="n">
        <x:v>23</x:v>
      </x:c>
      <x:c r="B8" s="5" t="str">
        <x:v>A1</x:v>
      </x:c>
      <x:c r="C8" s="10" t="n">
        <x:v>8</x:v>
      </x:c>
      <x:c r="D8" s="10" t="n">
        <x:v>2</x:v>
      </x:c>
      <x:c r="E8" s="10" t="n">
        <x:v>6</x:v>
      </x:c>
      <x:c r="F8" s="5" t="n">
        <x:v>0.06361487980277503</x:v>
      </x:c>
      <x:c r="G8" s="5" t="n">
        <x:v>0.09089157012225946</x:v>
      </x:c>
      <x:c r="H8" s="10" t="n">
        <x:v>2</x:v>
      </x:c>
      <x:c r="I8" s="5" t="n">
        <x:v>0.275</x:v>
      </x:c>
      <x:c r="J8" s="10" t="n">
        <x:v>1</x:v>
      </x:c>
      <x:c r="K8" s="5" t="str">
        <x:v>S002</x:v>
      </x:c>
    </x:row>
    <x:row r="9" ht="22" customHeight="1">
      <x:c r="A9" s="11" t="n">
        <x:v>23</x:v>
      </x:c>
      <x:c r="B9" s="9" t="str">
        <x:v>A2</x:v>
      </x:c>
      <x:c r="C9" s="11" t="n">
        <x:v>7</x:v>
      </x:c>
      <x:c r="D9" s="11" t="n">
        <x:v>0</x:v>
      </x:c>
      <x:c r="E9" s="11" t="n">
        <x:v>1</x:v>
      </x:c>
      <x:c r="F9" s="9" t="n">
        <x:v>0.04174400205914518</x:v>
      </x:c>
      <x:c r="G9" s="9" t="n">
        <x:v>0.1335809154937614</x:v>
      </x:c>
      <x:c r="H9" s="11" t="n">
        <x:v>2</x:v>
      </x:c>
      <x:c r="I9" s="9" t="n">
        <x:v>0.8909090909090909</x:v>
      </x:c>
      <x:c r="J9" s="11" t="n">
        <x:v>2</x:v>
      </x:c>
      <x:c r="K9" s="9" t="str">
        <x:v>S002</x:v>
      </x:c>
    </x:row>
    <x:row r="10" ht="22" customHeight="1">
      <x:c r="A10" s="10" t="n">
        <x:v>37</x:v>
      </x:c>
      <x:c r="B10" s="5" t="str">
        <x:v>A1</x:v>
      </x:c>
      <x:c r="C10" s="10" t="n">
        <x:v>8</x:v>
      </x:c>
      <x:c r="D10" s="10" t="n">
        <x:v>1</x:v>
      </x:c>
      <x:c r="E10" s="10" t="n">
        <x:v>1</x:v>
      </x:c>
      <x:c r="F10" s="5" t="n">
        <x:v>0.08965433221768072</x:v>
      </x:c>
      <x:c r="G10" s="5" t="n">
        <x:v>0.13102682128166296</x:v>
      </x:c>
      <x:c r="H10" s="10" t="n">
        <x:v>1</x:v>
      </x:c>
      <x:c r="I10" s="5" t="n">
        <x:v>0.85</x:v>
      </x:c>
      <x:c r="J10" s="10" t="n">
        <x:v>1</x:v>
      </x:c>
      <x:c r="K10" s="5" t="str">
        <x:v>S002</x:v>
      </x:c>
    </x:row>
    <x:row r="11" ht="22" customHeight="1">
      <x:c r="A11" s="11" t="n">
        <x:v>37</x:v>
      </x:c>
      <x:c r="B11" s="9" t="str">
        <x:v>A2</x:v>
      </x:c>
      <x:c r="C11" s="11" t="n">
        <x:v>5</x:v>
      </x:c>
      <x:c r="D11" s="11" t="n">
        <x:v>-1</x:v>
      </x:c>
      <x:c r="E11" s="11" t="n">
        <x:v>-1</x:v>
      </x:c>
      <x:c r="F11" s="9" t="n">
        <x:v>0.17143220824243985</x:v>
      </x:c>
      <x:c r="G11" s="9" t="n">
        <x:v>0.15735599250234655</x:v>
      </x:c>
      <x:c r="H11" s="11" t="n">
        <x:v>1</x:v>
      </x:c>
      <x:c r="I11" s="9" t="n">
        <x:v>0.9</x:v>
      </x:c>
      <x:c r="J11" s="11" t="n">
        <x:v>0</x:v>
      </x:c>
      <x:c r="K11" s="9" t="str">
        <x:v>S002</x:v>
      </x:c>
    </x:row>
    <x:row r="12" ht="22" customHeight="1">
      <x:c r="A12" s="10" t="n">
        <x:v>41</x:v>
      </x:c>
      <x:c r="B12" s="5" t="str">
        <x:v>A1</x:v>
      </x:c>
      <x:c r="C12" s="10" t="n">
        <x:v>8</x:v>
      </x:c>
      <x:c r="D12" s="10" t="n">
        <x:v>0</x:v>
      </x:c>
      <x:c r="E12" s="10" t="n">
        <x:v>4</x:v>
      </x:c>
      <x:c r="F12" s="5" t="n">
        <x:v>0.11073705670434666</x:v>
      </x:c>
      <x:c r="G12" s="5" t="n">
        <x:v>0.07228552094936691</x:v>
      </x:c>
      <x:c r="H12" s="10" t="n">
        <x:v>3</x:v>
      </x:c>
      <x:c r="I12" s="5" t="n">
        <x:v>0.7857142857142857</x:v>
      </x:c>
      <x:c r="J12" s="10" t="n">
        <x:v>1</x:v>
      </x:c>
      <x:c r="K12" s="5" t="str">
        <x:v>S002</x:v>
      </x:c>
    </x:row>
    <x:row r="13" ht="22" customHeight="1">
      <x:c r="A13" s="11" t="n">
        <x:v>41</x:v>
      </x:c>
      <x:c r="B13" s="9" t="str">
        <x:v>A2</x:v>
      </x:c>
      <x:c r="C13" s="11" t="n">
        <x:v>6</x:v>
      </x:c>
      <x:c r="D13" s="11" t="n">
        <x:v>5</x:v>
      </x:c>
      <x:c r="E13" s="11" t="n">
        <x:v>4</x:v>
      </x:c>
      <x:c r="F13" s="9" t="n">
        <x:v>0.10456239163063795</x:v>
      </x:c>
      <x:c r="G13" s="9" t="n">
        <x:v>0.05091900455186825</x:v>
      </x:c>
      <x:c r="H13" s="11" t="n">
        <x:v>2</x:v>
      </x:c>
      <x:c r="I13" s="9" t="n">
        <x:v>0.5428571428571428</x:v>
      </x:c>
      <x:c r="J13" s="11" t="n">
        <x:v>0</x:v>
      </x:c>
      <x:c r="K13" s="9" t="str">
        <x:v>S002</x:v>
      </x:c>
    </x:row>
    <x:row r="14" ht="22" customHeight="1">
      <x:c r="A14" s="10" t="n">
        <x:v>53</x:v>
      </x:c>
      <x:c r="B14" s="5" t="str">
        <x:v>A1</x:v>
      </x:c>
      <x:c r="C14" s="10" t="n">
        <x:v>7</x:v>
      </x:c>
      <x:c r="D14" s="10" t="n">
        <x:v>7</x:v>
      </x:c>
      <x:c r="E14" s="10" t="n">
        <x:v>3</x:v>
      </x:c>
      <x:c r="F14" s="5" t="n">
        <x:v>0.26517547496625393</x:v>
      </x:c>
      <x:c r="G14" s="5" t="n">
        <x:v>0.07247319242347601</x:v>
      </x:c>
      <x:c r="H14" s="10" t="n">
        <x:v>6</x:v>
      </x:c>
      <x:c r="I14" s="5" t="n">
        <x:v>-0.35714285714285715</x:v>
      </x:c>
      <x:c r="J14" s="10" t="n">
        <x:v>2</x:v>
      </x:c>
      <x:c r="K14" s="5" t="str">
        <x:v>S002</x:v>
      </x:c>
    </x:row>
    <x:row r="15" ht="22" customHeight="1">
      <x:c r="A15" s="11" t="n">
        <x:v>53</x:v>
      </x:c>
      <x:c r="B15" s="9" t="str">
        <x:v>A2</x:v>
      </x:c>
      <x:c r="C15" s="11" t="n">
        <x:v>8</x:v>
      </x:c>
      <x:c r="D15" s="11" t="n">
        <x:v>6</x:v>
      </x:c>
      <x:c r="E15" s="11" t="n">
        <x:v>4</x:v>
      </x:c>
      <x:c r="F15" s="9" t="n">
        <x:v>0.10778717970408652</x:v>
      </x:c>
      <x:c r="G15" s="9" t="n">
        <x:v>0.059657978748668315</x:v>
      </x:c>
      <x:c r="H15" s="11" t="n">
        <x:v>3</x:v>
      </x:c>
      <x:c r="I15" s="9" t="n">
        <x:v>0.6904761904761905</x:v>
      </x:c>
      <x:c r="J15" s="11" t="n">
        <x:v>0</x:v>
      </x:c>
      <x:c r="K15" s="9" t="str">
        <x:v>S002</x:v>
      </x:c>
    </x:row>
  </x:sheetData>
  <x:pageMargins left="0.7" right="0.7" top="0.75" bottom="0.75" header="0.3" footer="0.3"/>
  <x:tableParts count="1">
    <x:tablePart xmlns:r="http://schemas.openxmlformats.org/officeDocument/2006/relationships" r:id="Rb97052bbe90144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9" customHeight="1">
      <x:c r="A1" s="1" t="str">
        <x:v>S0 : résultats par strate</x:v>
      </x:c>
    </x:row>
    <x:row r="2" ht="21" customHeight="1">
      <x:c r="A2" s="2" t="str">
        <x:v>Moyennes descriptives EXP-15. Les strates ne sont pas des réplications externes indépendantes.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Strate</x:v>
      </x:c>
      <x:c r="B5" s="8" t="str">
        <x:v>A0 AUC</x:v>
      </x:c>
      <x:c r="C5" s="8" t="str">
        <x:v>A1 AUC</x:v>
      </x:c>
      <x:c r="D5" s="8" t="str">
        <x:v>A2 AUC</x:v>
      </x:c>
      <x:c r="E5" s="8" t="str">
        <x:v>A2−A1</x:v>
      </x:c>
      <x:c r="F5" s="8" t="str">
        <x:v>Source</x:v>
      </x:c>
    </x:row>
    <x:row r="6" ht="22" customHeight="1">
      <x:c r="A6" s="5" t="str">
        <x:v>quadratic/2</x:v>
      </x:c>
      <x:c r="B6" s="5" t="n">
        <x:v>0.08909414876076611</x:v>
      </x:c>
      <x:c r="C6" s="5" t="n">
        <x:v>0.05420427454519654</x:v>
      </x:c>
      <x:c r="D6" s="5" t="n">
        <x:v>0.09540463838371376</x:v>
      </x:c>
      <x:c r="E6" s="5" t="n">
        <x:f>D6-C6</x:f>
        <x:v>0.04120036383851722</x:v>
      </x:c>
      <x:c r="F6" s="5" t="str">
        <x:v>S002</x:v>
      </x:c>
    </x:row>
    <x:row r="7" ht="22" customHeight="1">
      <x:c r="A7" s="9" t="str">
        <x:v>quadratic/4</x:v>
      </x:c>
      <x:c r="B7" s="9" t="n">
        <x:v>0.1391840555548647</x:v>
      </x:c>
      <x:c r="C7" s="9" t="n">
        <x:v>0.13984208090907344</x:v>
      </x:c>
      <x:c r="D7" s="9" t="n">
        <x:v>0.09853846592545698</x:v>
      </x:c>
      <x:c r="E7" s="9" t="n">
        <x:f>D7-C7</x:f>
        <x:v>-0.041303614983616455</x:v>
      </x:c>
      <x:c r="F7" s="9" t="str">
        <x:v>S002</x:v>
      </x:c>
    </x:row>
    <x:row r="8" ht="22" customHeight="1">
      <x:c r="A8" s="5" t="str">
        <x:v>rosenbrock/2</x:v>
      </x:c>
      <x:c r="B8" s="5" t="n">
        <x:v>0.06462971882857761</x:v>
      </x:c>
      <x:c r="C8" s="5" t="n">
        <x:v>0.0452769256888986</x:v>
      </x:c>
      <x:c r="D8" s="5" t="n">
        <x:v>0.0786905123579709</x:v>
      </x:c>
      <x:c r="E8" s="5" t="n">
        <x:f>D8-C8</x:f>
        <x:v>0.03341358666907229</x:v>
      </x:c>
      <x:c r="F8" s="5" t="str">
        <x:v>S002</x:v>
      </x:c>
    </x:row>
    <x:row r="9" ht="22" customHeight="1">
      <x:c r="A9" s="9" t="str">
        <x:v>rosenbrock/4</x:v>
      </x:c>
      <x:c r="B9" s="9" t="n">
        <x:v>0.16393513605364377</x:v>
      </x:c>
      <x:c r="C9" s="9" t="n">
        <x:v>0.13925011424964415</x:v>
      </x:c>
      <x:c r="D9" s="9" t="n">
        <x:v>0.09663798799085728</x:v>
      </x:c>
      <x:c r="E9" s="9" t="n">
        <x:f>D9-C9</x:f>
        <x:v>-0.04261212625878687</x:v>
      </x:c>
      <x:c r="F9" s="9" t="str">
        <x:v>S002</x:v>
      </x:c>
    </x:row>
    <x:row r="10" ht="22" customHeight="1">
      <x:c r="A10" s="5" t="str">
        <x:v>sphere/2</x:v>
      </x:c>
      <x:c r="B10" s="5" t="n">
        <x:v>0.11576707242058853</x:v>
      </x:c>
      <x:c r="C10" s="5" t="n">
        <x:v>0.10975003870170569</x:v>
      </x:c>
      <x:c r="D10" s="5" t="n">
        <x:v>0.09780120554053726</x:v>
      </x:c>
      <x:c r="E10" s="5" t="n">
        <x:f>D10-C10</x:f>
        <x:v>-0.011948833161168432</x:v>
      </x:c>
      <x:c r="F10" s="5" t="str">
        <x:v>S002</x:v>
      </x:c>
    </x:row>
    <x:row r="11" ht="22" customHeight="1">
      <x:c r="A11" s="9" t="str">
        <x:v>sphere/4</x:v>
      </x:c>
      <x:c r="B11" s="9" t="n">
        <x:v>0.26486314439632674</x:v>
      </x:c>
      <x:c r="C11" s="9" t="n">
        <x:v>0.2421652958534872</x:v>
      </x:c>
      <x:c r="D11" s="9" t="n">
        <x:v>0.23300930869954573</x:v>
      </x:c>
      <x:c r="E11" s="9" t="n">
        <x:f>D11-C11</x:f>
        <x:v>-0.009155987153941475</x:v>
      </x:c>
      <x:c r="F11" s="9" t="str">
        <x:v>S002</x:v>
      </x:c>
    </x:row>
  </x:sheetData>
  <x:pageMargins left="0.7" right="0.7" top="0.75" bottom="0.75" header="0.3" footer="0.3"/>
  <x:tableParts count="1">
    <x:tablePart xmlns:r="http://schemas.openxmlformats.org/officeDocument/2006/relationships" r:id="R9a035eedb72e441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4" hidden="0" customWidth="1"/>
    <x:col min="15" max="15" width="72" hidden="0" customWidth="1"/>
    <x:col min="16" max="16" width="15" hidden="0" customWidth="1"/>
  </x:cols>
  <x:sheetData>
    <x:row r="1" ht="29" customHeight="1">
      <x:c r="A1" s="1" t="str">
        <x:v>G1 : limites de génération</x:v>
      </x:c>
    </x:row>
    <x:row r="2" ht="21" customHeight="1">
      <x:c r="A2" s="2" t="str">
        <x:v>12 réponses par plafond. Les AUC manquantes restent vides pour les candidats invalides.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Bloc</x:v>
      </x:c>
      <x:c r="B5" s="8" t="str">
        <x:v>Contexte</x:v>
      </x:c>
      <x:c r="C5" s="8" t="str">
        <x:v>Plafond tokens</x:v>
      </x:c>
      <x:c r="D5" s="8" t="str">
        <x:v>Éligible</x:v>
      </x:c>
      <x:c r="E5" s="8" t="str">
        <x:v>Statut source</x:v>
      </x:c>
      <x:c r="F5" s="8" t="str">
        <x:v>Fin</x:v>
      </x:c>
      <x:c r="G5" s="8" t="str">
        <x:v>AUC si valide</x:v>
      </x:c>
      <x:c r="H5" s="8" t="str">
        <x:v>Tokens prompt</x:v>
      </x:c>
      <x:c r="I5" s="8" t="str">
        <x:v>Tokens complétion</x:v>
      </x:c>
      <x:c r="J5" s="8" t="str">
        <x:v>Tokens totaux</x:v>
      </x:c>
      <x:c r="K5" s="8" t="str">
        <x:v>Coût USD</x:v>
      </x:c>
      <x:c r="L5" s="8" t="str">
        <x:v>Durée réponse s</x:v>
      </x:c>
      <x:c r="M5" s="8" t="str">
        <x:v>Tentatives</x:v>
      </x:c>
      <x:c r="N5" s="8" t="str">
        <x:v>Fournisseur</x:v>
      </x:c>
      <x:c r="O5" s="8" t="str">
        <x:v>SHA-256 source</x:v>
      </x:c>
      <x:c r="P5" s="8" t="str">
        <x:v>Source</x:v>
      </x:c>
    </x:row>
    <x:row r="6" ht="22" customHeight="1">
      <x:c r="A6" s="10" t="n">
        <x:v>16001</x:v>
      </x:c>
      <x:c r="B6" s="5" t="str">
        <x:v>I</x:v>
      </x:c>
      <x:c r="C6" s="14" t="n">
        <x:v>8000</x:v>
      </x:c>
      <x:c r="D6" s="10" t="n">
        <x:v>0</x:v>
      </x:c>
      <x:c r="E6" s="5" t="str">
        <x:v>missing_source</x:v>
      </x:c>
      <x:c r="F6" s="5" t="str">
        <x:v>length</x:v>
      </x:c>
      <x:c r="G6" s="5"/>
      <x:c r="H6" s="14" t="n">
        <x:v>433</x:v>
      </x:c>
      <x:c r="I6" s="14" t="n">
        <x:v>8000</x:v>
      </x:c>
      <x:c r="J6" s="14" t="n">
        <x:v>8433</x:v>
      </x:c>
      <x:c r="K6" s="16" t="n">
        <x:v>0.00229629</x:v>
      </x:c>
      <x:c r="L6" s="20" t="n">
        <x:v>80.58140536800056</x:v>
      </x:c>
      <x:c r="M6" s="10" t="n">
        <x:v>1</x:v>
      </x:c>
      <x:c r="N6" s="5" t="str">
        <x:v>CoreWeave</x:v>
      </x:c>
      <x:c r="O6" s="5" t="str">
        <x:v>e3b0c44298fc1c149afbf4c8996fb92427ae41e4649b934ca495991b7852b855</x:v>
      </x:c>
      <x:c r="P6" s="5" t="str">
        <x:v>S003</x:v>
      </x:c>
    </x:row>
    <x:row r="7" ht="22" customHeight="1">
      <x:c r="A7" s="11" t="n">
        <x:v>16001</x:v>
      </x:c>
      <x:c r="B7" s="9" t="str">
        <x:v>I</x:v>
      </x:c>
      <x:c r="C7" s="15" t="n">
        <x:v>32000</x:v>
      </x:c>
      <x:c r="D7" s="11" t="n">
        <x:v>1</x:v>
      </x:c>
      <x:c r="E7" s="9" t="str">
        <x:v>valid</x:v>
      </x:c>
      <x:c r="F7" s="9" t="str">
        <x:v>stop</x:v>
      </x:c>
      <x:c r="G7" s="9" t="n">
        <x:v>0.0905858474012412</x:v>
      </x:c>
      <x:c r="H7" s="15" t="n">
        <x:v>433</x:v>
      </x:c>
      <x:c r="I7" s="15" t="n">
        <x:v>6581</x:v>
      </x:c>
      <x:c r="J7" s="15" t="n">
        <x:v>7014</x:v>
      </x:c>
      <x:c r="K7" s="17" t="n">
        <x:v>0.001212725</x:v>
      </x:c>
      <x:c r="L7" s="21" t="n">
        <x:v>156.25252415199793</x:v>
      </x:c>
      <x:c r="M7" s="11" t="n">
        <x:v>1</x:v>
      </x:c>
      <x:c r="N7" s="9" t="str">
        <x:v>Sail Research</x:v>
      </x:c>
      <x:c r="O7" s="9" t="str">
        <x:v>52abac007fe641e0bc58c040008918032646de0b7486484c9b5e22f3e6434b1a</x:v>
      </x:c>
      <x:c r="P7" s="9" t="str">
        <x:v>S003</x:v>
      </x:c>
    </x:row>
    <x:row r="8" ht="22" customHeight="1">
      <x:c r="A8" s="10" t="n">
        <x:v>16001</x:v>
      </x:c>
      <x:c r="B8" s="5" t="str">
        <x:v>L</x:v>
      </x:c>
      <x:c r="C8" s="14" t="n">
        <x:v>32000</x:v>
      </x:c>
      <x:c r="D8" s="10" t="n">
        <x:v>1</x:v>
      </x:c>
      <x:c r="E8" s="5" t="str">
        <x:v>valid</x:v>
      </x:c>
      <x:c r="F8" s="5" t="str">
        <x:v>stop</x:v>
      </x:c>
      <x:c r="G8" s="5" t="n">
        <x:v>0.05577155892352311</x:v>
      </x:c>
      <x:c r="H8" s="14" t="n">
        <x:v>4571</x:v>
      </x:c>
      <x:c r="I8" s="14" t="n">
        <x:v>5175</x:v>
      </x:c>
      <x:c r="J8" s="14" t="n">
        <x:v>9746</x:v>
      </x:c>
      <x:c r="K8" s="16" t="n">
        <x:v>0.001217095</x:v>
      </x:c>
      <x:c r="L8" s="20" t="n">
        <x:v>109.1115230449941</x:v>
      </x:c>
      <x:c r="M8" s="10" t="n">
        <x:v>1</x:v>
      </x:c>
      <x:c r="N8" s="5" t="str">
        <x:v>Sail Research</x:v>
      </x:c>
      <x:c r="O8" s="5" t="str">
        <x:v>0608cec851bac33e557529d64068cc936c4dff1dad669919d68d66acc8d5b9cc</x:v>
      </x:c>
      <x:c r="P8" s="5" t="str">
        <x:v>S003</x:v>
      </x:c>
    </x:row>
    <x:row r="9" ht="22" customHeight="1">
      <x:c r="A9" s="11" t="n">
        <x:v>16001</x:v>
      </x:c>
      <x:c r="B9" s="9" t="str">
        <x:v>L</x:v>
      </x:c>
      <x:c r="C9" s="15" t="n">
        <x:v>8000</x:v>
      </x:c>
      <x:c r="D9" s="11" t="n">
        <x:v>1</x:v>
      </x:c>
      <x:c r="E9" s="9" t="str">
        <x:v>valid</x:v>
      </x:c>
      <x:c r="F9" s="9" t="str">
        <x:v>stop</x:v>
      </x:c>
      <x:c r="G9" s="9" t="n">
        <x:v>0.06611307932188899</x:v>
      </x:c>
      <x:c r="H9" s="15" t="n">
        <x:v>4571</x:v>
      </x:c>
      <x:c r="I9" s="15" t="n">
        <x:v>3922</x:v>
      </x:c>
      <x:c r="J9" s="15" t="n">
        <x:v>8493</x:v>
      </x:c>
      <x:c r="K9" s="17" t="n">
        <x:v>0.000797425</x:v>
      </x:c>
      <x:c r="L9" s="21" t="n">
        <x:v>95.87717493300443</x:v>
      </x:c>
      <x:c r="M9" s="11" t="n">
        <x:v>1</x:v>
      </x:c>
      <x:c r="N9" s="9" t="str">
        <x:v>Sail Research</x:v>
      </x:c>
      <x:c r="O9" s="9" t="str">
        <x:v>592521c3d2e627bbaecc290d212caca3c77f4297bb5c2baa8823b71bc771d63d</x:v>
      </x:c>
      <x:c r="P9" s="9" t="str">
        <x:v>S003</x:v>
      </x:c>
    </x:row>
    <x:row r="10" ht="22" customHeight="1">
      <x:c r="A10" s="10" t="n">
        <x:v>16002</x:v>
      </x:c>
      <x:c r="B10" s="5" t="str">
        <x:v>L</x:v>
      </x:c>
      <x:c r="C10" s="14" t="n">
        <x:v>32000</x:v>
      </x:c>
      <x:c r="D10" s="10" t="n">
        <x:v>0</x:v>
      </x:c>
      <x:c r="E10" s="5" t="str">
        <x:v>protocol_violation</x:v>
      </x:c>
      <x:c r="F10" s="5" t="str">
        <x:v>stop</x:v>
      </x:c>
      <x:c r="G10" s="5"/>
      <x:c r="H10" s="14" t="n">
        <x:v>4571</x:v>
      </x:c>
      <x:c r="I10" s="14" t="n">
        <x:v>4079</x:v>
      </x:c>
      <x:c r="J10" s="14" t="n">
        <x:v>8650</x:v>
      </x:c>
      <x:c r="K10" s="16" t="n">
        <x:v>0.000825685</x:v>
      </x:c>
      <x:c r="L10" s="20" t="n">
        <x:v>115.64055780600029</x:v>
      </x:c>
      <x:c r="M10" s="10" t="n">
        <x:v>1</x:v>
      </x:c>
      <x:c r="N10" s="5" t="str">
        <x:v>Sail Research</x:v>
      </x:c>
      <x:c r="O10" s="5" t="str">
        <x:v>068c006eaa6ba610ccad85d15245f7786f365789a7dd09ba36d97ed77ebc0fd2</x:v>
      </x:c>
      <x:c r="P10" s="5" t="str">
        <x:v>S003</x:v>
      </x:c>
    </x:row>
    <x:row r="11" ht="22" customHeight="1">
      <x:c r="A11" s="11" t="n">
        <x:v>16002</x:v>
      </x:c>
      <x:c r="B11" s="9" t="str">
        <x:v>L</x:v>
      </x:c>
      <x:c r="C11" s="15" t="n">
        <x:v>8000</x:v>
      </x:c>
      <x:c r="D11" s="11" t="n">
        <x:v>0</x:v>
      </x:c>
      <x:c r="E11" s="9" t="str">
        <x:v>protocol_violation</x:v>
      </x:c>
      <x:c r="F11" s="9" t="str">
        <x:v>stop</x:v>
      </x:c>
      <x:c r="G11" s="9"/>
      <x:c r="H11" s="15" t="n">
        <x:v>4571</x:v>
      </x:c>
      <x:c r="I11" s="15" t="n">
        <x:v>2207</x:v>
      </x:c>
      <x:c r="J11" s="15" t="n">
        <x:v>6778</x:v>
      </x:c>
      <x:c r="K11" s="17" t="n">
        <x:v>0.000488725</x:v>
      </x:c>
      <x:c r="L11" s="21" t="n">
        <x:v>51.16235397399578</x:v>
      </x:c>
      <x:c r="M11" s="11" t="n">
        <x:v>1</x:v>
      </x:c>
      <x:c r="N11" s="9" t="str">
        <x:v>Sail Research</x:v>
      </x:c>
      <x:c r="O11" s="9" t="str">
        <x:v>12437edd17bde363d97062cc27b94de5ca88e752dcbef118cc8cb82d149e80f2</x:v>
      </x:c>
      <x:c r="P11" s="9" t="str">
        <x:v>S003</x:v>
      </x:c>
    </x:row>
    <x:row r="12" ht="22" customHeight="1">
      <x:c r="A12" s="10" t="n">
        <x:v>16002</x:v>
      </x:c>
      <x:c r="B12" s="5" t="str">
        <x:v>I</x:v>
      </x:c>
      <x:c r="C12" s="14" t="n">
        <x:v>8000</x:v>
      </x:c>
      <x:c r="D12" s="10" t="n">
        <x:v>0</x:v>
      </x:c>
      <x:c r="E12" s="5" t="str">
        <x:v>valid</x:v>
      </x:c>
      <x:c r="F12" s="5" t="str">
        <x:v>stop</x:v>
      </x:c>
      <x:c r="G12" s="5"/>
      <x:c r="H12" s="14" t="n">
        <x:v>433</x:v>
      </x:c>
      <x:c r="I12" s="14" t="n">
        <x:v>7622</x:v>
      </x:c>
      <x:c r="J12" s="14" t="n">
        <x:v>8055</x:v>
      </x:c>
      <x:c r="K12" s="16" t="n">
        <x:v>0.001380665</x:v>
      </x:c>
      <x:c r="L12" s="20" t="n">
        <x:v>162.61188868800673</x:v>
      </x:c>
      <x:c r="M12" s="10" t="n">
        <x:v>1</x:v>
      </x:c>
      <x:c r="N12" s="5" t="str">
        <x:v>Sail Research</x:v>
      </x:c>
      <x:c r="O12" s="5" t="str">
        <x:v>1787a13e9ca96eb7c33b91ad2b71e9ebe27960704f4ca184d42e7f86dc6d2696</x:v>
      </x:c>
      <x:c r="P12" s="5" t="str">
        <x:v>S003</x:v>
      </x:c>
    </x:row>
    <x:row r="13" ht="22" customHeight="1">
      <x:c r="A13" s="11" t="n">
        <x:v>16002</x:v>
      </x:c>
      <x:c r="B13" s="9" t="str">
        <x:v>I</x:v>
      </x:c>
      <x:c r="C13" s="15" t="n">
        <x:v>32000</x:v>
      </x:c>
      <x:c r="D13" s="11" t="n">
        <x:v>0</x:v>
      </x:c>
      <x:c r="E13" s="9" t="str">
        <x:v>protocol_violation</x:v>
      </x:c>
      <x:c r="F13" s="9" t="str">
        <x:v>stop</x:v>
      </x:c>
      <x:c r="G13" s="9"/>
      <x:c r="H13" s="15" t="n">
        <x:v>433</x:v>
      </x:c>
      <x:c r="I13" s="15" t="n">
        <x:v>1494</x:v>
      </x:c>
      <x:c r="J13" s="15" t="n">
        <x:v>1927</x:v>
      </x:c>
      <x:c r="K13" s="17" t="n">
        <x:v>0.000277625</x:v>
      </x:c>
      <x:c r="L13" s="21" t="n">
        <x:v>48.72356683399994</x:v>
      </x:c>
      <x:c r="M13" s="11" t="n">
        <x:v>1</x:v>
      </x:c>
      <x:c r="N13" s="9" t="str">
        <x:v>Sail Research</x:v>
      </x:c>
      <x:c r="O13" s="9" t="str">
        <x:v>b344f0e4abec94f178026897a8d947012c3dac5254f3a95b54c93fb5175b8c84</x:v>
      </x:c>
      <x:c r="P13" s="9" t="str">
        <x:v>S003</x:v>
      </x:c>
    </x:row>
    <x:row r="14" ht="22" customHeight="1">
      <x:c r="A14" s="10" t="n">
        <x:v>16003</x:v>
      </x:c>
      <x:c r="B14" s="5" t="str">
        <x:v>I</x:v>
      </x:c>
      <x:c r="C14" s="14" t="n">
        <x:v>8000</x:v>
      </x:c>
      <x:c r="D14" s="10" t="n">
        <x:v>1</x:v>
      </x:c>
      <x:c r="E14" s="5" t="str">
        <x:v>valid</x:v>
      </x:c>
      <x:c r="F14" s="5" t="str">
        <x:v>stop</x:v>
      </x:c>
      <x:c r="G14" s="5" t="n">
        <x:v>0.024769695737348937</x:v>
      </x:c>
      <x:c r="H14" s="14" t="n">
        <x:v>433</x:v>
      </x:c>
      <x:c r="I14" s="14" t="n">
        <x:v>4480</x:v>
      </x:c>
      <x:c r="J14" s="14" t="n">
        <x:v>4913</x:v>
      </x:c>
      <x:c r="K14" s="16" t="n">
        <x:v>0.000815105</x:v>
      </x:c>
      <x:c r="L14" s="20" t="n">
        <x:v>149.57133541100484</x:v>
      </x:c>
      <x:c r="M14" s="10" t="n">
        <x:v>1</x:v>
      </x:c>
      <x:c r="N14" s="5" t="str">
        <x:v>Sail Research</x:v>
      </x:c>
      <x:c r="O14" s="5" t="str">
        <x:v>35afb6b01bfbb2e01f76ee87def43a4d652d45bfdb200a2cf1228b5dd7c20f81</x:v>
      </x:c>
      <x:c r="P14" s="5" t="str">
        <x:v>S003</x:v>
      </x:c>
    </x:row>
    <x:row r="15" ht="22" customHeight="1">
      <x:c r="A15" s="11" t="n">
        <x:v>16003</x:v>
      </x:c>
      <x:c r="B15" s="9" t="str">
        <x:v>I</x:v>
      </x:c>
      <x:c r="C15" s="15" t="n">
        <x:v>32000</x:v>
      </x:c>
      <x:c r="D15" s="11" t="n">
        <x:v>1</x:v>
      </x:c>
      <x:c r="E15" s="9" t="str">
        <x:v>valid</x:v>
      </x:c>
      <x:c r="F15" s="9" t="str">
        <x:v>stop</x:v>
      </x:c>
      <x:c r="G15" s="9" t="n">
        <x:v>0.33429716524225694</x:v>
      </x:c>
      <x:c r="H15" s="15" t="n">
        <x:v>433</x:v>
      </x:c>
      <x:c r="I15" s="15" t="n">
        <x:v>4337</x:v>
      </x:c>
      <x:c r="J15" s="15" t="n">
        <x:v>4770</x:v>
      </x:c>
      <x:c r="K15" s="17" t="n">
        <x:v>0.000789365</x:v>
      </x:c>
      <x:c r="L15" s="21" t="n">
        <x:v>132.6176956929994</x:v>
      </x:c>
      <x:c r="M15" s="11" t="n">
        <x:v>1</x:v>
      </x:c>
      <x:c r="N15" s="9" t="str">
        <x:v>Sail Research</x:v>
      </x:c>
      <x:c r="O15" s="9" t="str">
        <x:v>266eda49d2b656507d6049052f61923d6c83f0ae6c76658c68213c238fdcae96</x:v>
      </x:c>
      <x:c r="P15" s="9" t="str">
        <x:v>S003</x:v>
      </x:c>
    </x:row>
    <x:row r="16" ht="22" customHeight="1">
      <x:c r="A16" s="10" t="n">
        <x:v>16003</x:v>
      </x:c>
      <x:c r="B16" s="5" t="str">
        <x:v>L</x:v>
      </x:c>
      <x:c r="C16" s="14" t="n">
        <x:v>32000</x:v>
      </x:c>
      <x:c r="D16" s="10" t="n">
        <x:v>1</x:v>
      </x:c>
      <x:c r="E16" s="5" t="str">
        <x:v>valid</x:v>
      </x:c>
      <x:c r="F16" s="5" t="str">
        <x:v>stop</x:v>
      </x:c>
      <x:c r="G16" s="5" t="n">
        <x:v>0.09628466332009211</x:v>
      </x:c>
      <x:c r="H16" s="14" t="n">
        <x:v>4571</x:v>
      </x:c>
      <x:c r="I16" s="14" t="n">
        <x:v>3842</x:v>
      </x:c>
      <x:c r="J16" s="14" t="n">
        <x:v>8413</x:v>
      </x:c>
      <x:c r="K16" s="16" t="n">
        <x:v>0.000783025</x:v>
      </x:c>
      <x:c r="L16" s="20" t="n">
        <x:v>95.00245631000143</x:v>
      </x:c>
      <x:c r="M16" s="10" t="n">
        <x:v>1</x:v>
      </x:c>
      <x:c r="N16" s="5" t="str">
        <x:v>Sail Research</x:v>
      </x:c>
      <x:c r="O16" s="5" t="str">
        <x:v>45fc77e428fbb8a3e1f3bfb9b3591314ed4845597682d5eebd3a89767932938c</x:v>
      </x:c>
      <x:c r="P16" s="5" t="str">
        <x:v>S003</x:v>
      </x:c>
    </x:row>
    <x:row r="17" ht="22" customHeight="1">
      <x:c r="A17" s="11" t="n">
        <x:v>16003</x:v>
      </x:c>
      <x:c r="B17" s="9" t="str">
        <x:v>L</x:v>
      </x:c>
      <x:c r="C17" s="15" t="n">
        <x:v>8000</x:v>
      </x:c>
      <x:c r="D17" s="11" t="n">
        <x:v>1</x:v>
      </x:c>
      <x:c r="E17" s="9" t="str">
        <x:v>valid</x:v>
      </x:c>
      <x:c r="F17" s="9" t="str">
        <x:v>stop</x:v>
      </x:c>
      <x:c r="G17" s="9" t="n">
        <x:v>0.08350164673178966</x:v>
      </x:c>
      <x:c r="H17" s="15" t="n">
        <x:v>4571</x:v>
      </x:c>
      <x:c r="I17" s="15" t="n">
        <x:v>3119</x:v>
      </x:c>
      <x:c r="J17" s="15" t="n">
        <x:v>7690</x:v>
      </x:c>
      <x:c r="K17" s="17" t="n">
        <x:v>0.000652885</x:v>
      </x:c>
      <x:c r="L17" s="21" t="n">
        <x:v>83.31302043899632</x:v>
      </x:c>
      <x:c r="M17" s="11" t="n">
        <x:v>1</x:v>
      </x:c>
      <x:c r="N17" s="9" t="str">
        <x:v>Sail Research</x:v>
      </x:c>
      <x:c r="O17" s="9" t="str">
        <x:v>6c046de2a8e6dfb10e25fc4688e9aef18fd443102aed63aac3112e173fa1b061</x:v>
      </x:c>
      <x:c r="P17" s="9" t="str">
        <x:v>S003</x:v>
      </x:c>
    </x:row>
    <x:row r="18" ht="22" customHeight="1">
      <x:c r="A18" s="10" t="n">
        <x:v>16004</x:v>
      </x:c>
      <x:c r="B18" s="5" t="str">
        <x:v>L</x:v>
      </x:c>
      <x:c r="C18" s="14" t="n">
        <x:v>32000</x:v>
      </x:c>
      <x:c r="D18" s="10" t="n">
        <x:v>1</x:v>
      </x:c>
      <x:c r="E18" s="5" t="str">
        <x:v>valid</x:v>
      </x:c>
      <x:c r="F18" s="5" t="str">
        <x:v>stop</x:v>
      </x:c>
      <x:c r="G18" s="5" t="n">
        <x:v>0.07618030091867796</x:v>
      </x:c>
      <x:c r="H18" s="14" t="n">
        <x:v>4571</x:v>
      </x:c>
      <x:c r="I18" s="14" t="n">
        <x:v>3918</x:v>
      </x:c>
      <x:c r="J18" s="14" t="n">
        <x:v>8489</x:v>
      </x:c>
      <x:c r="K18" s="16" t="n">
        <x:v>0.000796705</x:v>
      </x:c>
      <x:c r="L18" s="20" t="n">
        <x:v>101.85602133499924</x:v>
      </x:c>
      <x:c r="M18" s="10" t="n">
        <x:v>1</x:v>
      </x:c>
      <x:c r="N18" s="5" t="str">
        <x:v>Sail Research</x:v>
      </x:c>
      <x:c r="O18" s="5" t="str">
        <x:v>119810ceeb79f00bb41945acb9e9d100bdc90ef38e00aa4da5f156e2ab5dba14</x:v>
      </x:c>
      <x:c r="P18" s="5" t="str">
        <x:v>S003</x:v>
      </x:c>
    </x:row>
    <x:row r="19" ht="22" customHeight="1">
      <x:c r="A19" s="11" t="n">
        <x:v>16004</x:v>
      </x:c>
      <x:c r="B19" s="9" t="str">
        <x:v>L</x:v>
      </x:c>
      <x:c r="C19" s="15" t="n">
        <x:v>8000</x:v>
      </x:c>
      <x:c r="D19" s="11" t="n">
        <x:v>1</x:v>
      </x:c>
      <x:c r="E19" s="9" t="str">
        <x:v>valid</x:v>
      </x:c>
      <x:c r="F19" s="9" t="str">
        <x:v>stop</x:v>
      </x:c>
      <x:c r="G19" s="9" t="n">
        <x:v>0.10469013852401102</x:v>
      </x:c>
      <x:c r="H19" s="15" t="n">
        <x:v>4571</x:v>
      </x:c>
      <x:c r="I19" s="15" t="n">
        <x:v>4491</x:v>
      </x:c>
      <x:c r="J19" s="15" t="n">
        <x:v>9062</x:v>
      </x:c>
      <x:c r="K19" s="17" t="n">
        <x:v>0.000899845</x:v>
      </x:c>
      <x:c r="L19" s="21" t="n">
        <x:v>106.58102604099986</x:v>
      </x:c>
      <x:c r="M19" s="11" t="n">
        <x:v>1</x:v>
      </x:c>
      <x:c r="N19" s="9" t="str">
        <x:v>Sail Research</x:v>
      </x:c>
      <x:c r="O19" s="9" t="str">
        <x:v>5a1512b1d082506293f40b75647588f5501040b54c62752247ecf84b7c4e087f</x:v>
      </x:c>
      <x:c r="P19" s="9" t="str">
        <x:v>S003</x:v>
      </x:c>
    </x:row>
    <x:row r="20" ht="22" customHeight="1">
      <x:c r="A20" s="10" t="n">
        <x:v>16004</x:v>
      </x:c>
      <x:c r="B20" s="5" t="str">
        <x:v>I</x:v>
      </x:c>
      <x:c r="C20" s="14" t="n">
        <x:v>8000</x:v>
      </x:c>
      <x:c r="D20" s="10" t="n">
        <x:v>1</x:v>
      </x:c>
      <x:c r="E20" s="5" t="str">
        <x:v>valid</x:v>
      </x:c>
      <x:c r="F20" s="5" t="str">
        <x:v>stop</x:v>
      </x:c>
      <x:c r="G20" s="5" t="n">
        <x:v>0.0974798720615166</x:v>
      </x:c>
      <x:c r="H20" s="14" t="n">
        <x:v>433</x:v>
      </x:c>
      <x:c r="I20" s="14" t="n">
        <x:v>1383</x:v>
      </x:c>
      <x:c r="J20" s="14" t="n">
        <x:v>1816</x:v>
      </x:c>
      <x:c r="K20" s="16" t="n">
        <x:v>0.000257645</x:v>
      </x:c>
      <x:c r="L20" s="20" t="n">
        <x:v>36.93314194699633</x:v>
      </x:c>
      <x:c r="M20" s="10" t="n">
        <x:v>1</x:v>
      </x:c>
      <x:c r="N20" s="5" t="str">
        <x:v>Sail Research</x:v>
      </x:c>
      <x:c r="O20" s="5" t="str">
        <x:v>8aafc07e06c7794836c73711e20a12af9010026e07cafff72dd1de6fa17abbad</x:v>
      </x:c>
      <x:c r="P20" s="5" t="str">
        <x:v>S003</x:v>
      </x:c>
    </x:row>
    <x:row r="21" ht="22" customHeight="1">
      <x:c r="A21" s="11" t="n">
        <x:v>16004</x:v>
      </x:c>
      <x:c r="B21" s="9" t="str">
        <x:v>I</x:v>
      </x:c>
      <x:c r="C21" s="15" t="n">
        <x:v>32000</x:v>
      </x:c>
      <x:c r="D21" s="11" t="n">
        <x:v>1</x:v>
      </x:c>
      <x:c r="E21" s="9" t="str">
        <x:v>valid</x:v>
      </x:c>
      <x:c r="F21" s="9" t="str">
        <x:v>stop</x:v>
      </x:c>
      <x:c r="G21" s="9" t="n">
        <x:v>0.10375998687781947</x:v>
      </x:c>
      <x:c r="H21" s="15" t="n">
        <x:v>433</x:v>
      </x:c>
      <x:c r="I21" s="15" t="n">
        <x:v>3041</x:v>
      </x:c>
      <x:c r="J21" s="15" t="n">
        <x:v>3474</x:v>
      </x:c>
      <x:c r="K21" s="17" t="n">
        <x:v>0.000556085</x:v>
      </x:c>
      <x:c r="L21" s="21" t="n">
        <x:v>69.42426008299662</x:v>
      </x:c>
      <x:c r="M21" s="11" t="n">
        <x:v>1</x:v>
      </x:c>
      <x:c r="N21" s="9" t="str">
        <x:v>Sail Research</x:v>
      </x:c>
      <x:c r="O21" s="9" t="str">
        <x:v>9cd4068ee062e341e7e48d1559bd74dd585261535b4c59db9530aa86259c80a9</x:v>
      </x:c>
      <x:c r="P21" s="9" t="str">
        <x:v>S003</x:v>
      </x:c>
    </x:row>
    <x:row r="22" ht="22" customHeight="1">
      <x:c r="A22" s="10" t="n">
        <x:v>16005</x:v>
      </x:c>
      <x:c r="B22" s="5" t="str">
        <x:v>I</x:v>
      </x:c>
      <x:c r="C22" s="14" t="n">
        <x:v>8000</x:v>
      </x:c>
      <x:c r="D22" s="10" t="n">
        <x:v>1</x:v>
      </x:c>
      <x:c r="E22" s="5" t="str">
        <x:v>valid</x:v>
      </x:c>
      <x:c r="F22" s="5" t="str">
        <x:v>stop</x:v>
      </x:c>
      <x:c r="G22" s="5" t="n">
        <x:v>0.08683748144092404</x:v>
      </x:c>
      <x:c r="H22" s="14" t="n">
        <x:v>433</x:v>
      </x:c>
      <x:c r="I22" s="14" t="n">
        <x:v>4146</x:v>
      </x:c>
      <x:c r="J22" s="14" t="n">
        <x:v>4579</x:v>
      </x:c>
      <x:c r="K22" s="16" t="n">
        <x:v>0.000754985</x:v>
      </x:c>
      <x:c r="L22" s="20" t="n">
        <x:v>98.6623158690054</x:v>
      </x:c>
      <x:c r="M22" s="10" t="n">
        <x:v>1</x:v>
      </x:c>
      <x:c r="N22" s="5" t="str">
        <x:v>Sail Research</x:v>
      </x:c>
      <x:c r="O22" s="5" t="str">
        <x:v>d8eae60e63657d9c4417a24919323cfc2439bd2e0c4ff672b265bc9bb8b8870a</x:v>
      </x:c>
      <x:c r="P22" s="5" t="str">
        <x:v>S003</x:v>
      </x:c>
    </x:row>
    <x:row r="23" ht="22" customHeight="1">
      <x:c r="A23" s="11" t="n">
        <x:v>16005</x:v>
      </x:c>
      <x:c r="B23" s="9" t="str">
        <x:v>I</x:v>
      </x:c>
      <x:c r="C23" s="15" t="n">
        <x:v>32000</x:v>
      </x:c>
      <x:c r="D23" s="11" t="n">
        <x:v>1</x:v>
      </x:c>
      <x:c r="E23" s="9" t="str">
        <x:v>valid</x:v>
      </x:c>
      <x:c r="F23" s="9" t="str">
        <x:v>stop</x:v>
      </x:c>
      <x:c r="G23" s="9" t="n">
        <x:v>0.06574308656089803</x:v>
      </x:c>
      <x:c r="H23" s="15" t="n">
        <x:v>433</x:v>
      </x:c>
      <x:c r="I23" s="15" t="n">
        <x:v>4262</x:v>
      </x:c>
      <x:c r="J23" s="15" t="n">
        <x:v>4695</x:v>
      </x:c>
      <x:c r="K23" s="17" t="n">
        <x:v>0.000775865</x:v>
      </x:c>
      <x:c r="L23" s="21" t="n">
        <x:v>101.08101455299766</x:v>
      </x:c>
      <x:c r="M23" s="11" t="n">
        <x:v>1</x:v>
      </x:c>
      <x:c r="N23" s="9" t="str">
        <x:v>Sail Research</x:v>
      </x:c>
      <x:c r="O23" s="9" t="str">
        <x:v>0f029297e99f6b8c0b08eb6c19a6b582fda6e44bd5956dc96e5e5333ede2c575</x:v>
      </x:c>
      <x:c r="P23" s="9" t="str">
        <x:v>S003</x:v>
      </x:c>
    </x:row>
    <x:row r="24" ht="22" customHeight="1">
      <x:c r="A24" s="10" t="n">
        <x:v>16005</x:v>
      </x:c>
      <x:c r="B24" s="5" t="str">
        <x:v>L</x:v>
      </x:c>
      <x:c r="C24" s="14" t="n">
        <x:v>32000</x:v>
      </x:c>
      <x:c r="D24" s="10" t="n">
        <x:v>1</x:v>
      </x:c>
      <x:c r="E24" s="5" t="str">
        <x:v>valid</x:v>
      </x:c>
      <x:c r="F24" s="5" t="str">
        <x:v>stop</x:v>
      </x:c>
      <x:c r="G24" s="5" t="n">
        <x:v>0.06942443957395747</x:v>
      </x:c>
      <x:c r="H24" s="14" t="n">
        <x:v>4571</x:v>
      </x:c>
      <x:c r="I24" s="14" t="n">
        <x:v>5433</x:v>
      </x:c>
      <x:c r="J24" s="14" t="n">
        <x:v>10004</x:v>
      </x:c>
      <x:c r="K24" s="16" t="n">
        <x:v>0.001069405</x:v>
      </x:c>
      <x:c r="L24" s="20" t="n">
        <x:v>126.63129399200261</x:v>
      </x:c>
      <x:c r="M24" s="10" t="n">
        <x:v>1</x:v>
      </x:c>
      <x:c r="N24" s="5" t="str">
        <x:v>Sail Research</x:v>
      </x:c>
      <x:c r="O24" s="5" t="str">
        <x:v>cb2aef5fdd2c72dff6f34df6459482afa801ae953a7a760a3ed9673baf713845</x:v>
      </x:c>
      <x:c r="P24" s="5" t="str">
        <x:v>S003</x:v>
      </x:c>
    </x:row>
    <x:row r="25" ht="22" customHeight="1">
      <x:c r="A25" s="11" t="n">
        <x:v>16005</x:v>
      </x:c>
      <x:c r="B25" s="9" t="str">
        <x:v>L</x:v>
      </x:c>
      <x:c r="C25" s="15" t="n">
        <x:v>8000</x:v>
      </x:c>
      <x:c r="D25" s="11" t="n">
        <x:v>0</x:v>
      </x:c>
      <x:c r="E25" s="9" t="str">
        <x:v>protocol_violation</x:v>
      </x:c>
      <x:c r="F25" s="9" t="str">
        <x:v>stop</x:v>
      </x:c>
      <x:c r="G25" s="9"/>
      <x:c r="H25" s="15" t="n">
        <x:v>4571</x:v>
      </x:c>
      <x:c r="I25" s="15" t="n">
        <x:v>1174</x:v>
      </x:c>
      <x:c r="J25" s="15" t="n">
        <x:v>5745</x:v>
      </x:c>
      <x:c r="K25" s="17" t="n">
        <x:v>0.000302785</x:v>
      </x:c>
      <x:c r="L25" s="21" t="n">
        <x:v>35.446022992997314</x:v>
      </x:c>
      <x:c r="M25" s="11" t="n">
        <x:v>1</x:v>
      </x:c>
      <x:c r="N25" s="9" t="str">
        <x:v>Sail Research</x:v>
      </x:c>
      <x:c r="O25" s="9" t="str">
        <x:v>552fe9b20f90334a4ea472f33c51b3e35a4214a32c62b5a48a57129357734acc</x:v>
      </x:c>
      <x:c r="P25" s="9" t="str">
        <x:v>S003</x:v>
      </x:c>
    </x:row>
    <x:row r="26" ht="22" customHeight="1">
      <x:c r="A26" s="10" t="n">
        <x:v>16006</x:v>
      </x:c>
      <x:c r="B26" s="5" t="str">
        <x:v>L</x:v>
      </x:c>
      <x:c r="C26" s="14" t="n">
        <x:v>32000</x:v>
      </x:c>
      <x:c r="D26" s="10" t="n">
        <x:v>1</x:v>
      </x:c>
      <x:c r="E26" s="5" t="str">
        <x:v>valid</x:v>
      </x:c>
      <x:c r="F26" s="5" t="str">
        <x:v>stop</x:v>
      </x:c>
      <x:c r="G26" s="5" t="n">
        <x:v>0.055894526046735615</x:v>
      </x:c>
      <x:c r="H26" s="14" t="n">
        <x:v>4571</x:v>
      </x:c>
      <x:c r="I26" s="14" t="n">
        <x:v>3935</x:v>
      </x:c>
      <x:c r="J26" s="14" t="n">
        <x:v>8506</x:v>
      </x:c>
      <x:c r="K26" s="16" t="n">
        <x:v>0.000799765</x:v>
      </x:c>
      <x:c r="L26" s="20" t="n">
        <x:v>101.785936029999</x:v>
      </x:c>
      <x:c r="M26" s="10" t="n">
        <x:v>1</x:v>
      </x:c>
      <x:c r="N26" s="5" t="str">
        <x:v>Sail Research</x:v>
      </x:c>
      <x:c r="O26" s="5" t="str">
        <x:v>5d877a9c6567578728418387c0218437c7519a4f0bcb6a25a5e0ab002ad5a838</x:v>
      </x:c>
      <x:c r="P26" s="5" t="str">
        <x:v>S003</x:v>
      </x:c>
    </x:row>
    <x:row r="27" ht="22" customHeight="1">
      <x:c r="A27" s="11" t="n">
        <x:v>16006</x:v>
      </x:c>
      <x:c r="B27" s="9" t="str">
        <x:v>L</x:v>
      </x:c>
      <x:c r="C27" s="15" t="n">
        <x:v>8000</x:v>
      </x:c>
      <x:c r="D27" s="11" t="n">
        <x:v>1</x:v>
      </x:c>
      <x:c r="E27" s="9" t="str">
        <x:v>valid</x:v>
      </x:c>
      <x:c r="F27" s="9" t="str">
        <x:v>stop</x:v>
      </x:c>
      <x:c r="G27" s="9" t="n">
        <x:v>0.07095189113431061</x:v>
      </x:c>
      <x:c r="H27" s="15" t="n">
        <x:v>4571</x:v>
      </x:c>
      <x:c r="I27" s="15" t="n">
        <x:v>3425</x:v>
      </x:c>
      <x:c r="J27" s="15" t="n">
        <x:v>7996</x:v>
      </x:c>
      <x:c r="K27" s="17" t="n">
        <x:v>0.000707965</x:v>
      </x:c>
      <x:c r="L27" s="21" t="n">
        <x:v>77.36768268299784</x:v>
      </x:c>
      <x:c r="M27" s="11" t="n">
        <x:v>1</x:v>
      </x:c>
      <x:c r="N27" s="9" t="str">
        <x:v>Sail Research</x:v>
      </x:c>
      <x:c r="O27" s="9" t="str">
        <x:v>b390019067caac1cf4c60ab466d8992aa1142b5e4fac1945fba5fbdadc6a1fb1</x:v>
      </x:c>
      <x:c r="P27" s="9" t="str">
        <x:v>S003</x:v>
      </x:c>
    </x:row>
    <x:row r="28" ht="22" customHeight="1">
      <x:c r="A28" s="10" t="n">
        <x:v>16006</x:v>
      </x:c>
      <x:c r="B28" s="5" t="str">
        <x:v>I</x:v>
      </x:c>
      <x:c r="C28" s="14" t="n">
        <x:v>8000</x:v>
      </x:c>
      <x:c r="D28" s="10" t="n">
        <x:v>1</x:v>
      </x:c>
      <x:c r="E28" s="5" t="str">
        <x:v>valid</x:v>
      </x:c>
      <x:c r="F28" s="5" t="str">
        <x:v>stop</x:v>
      </x:c>
      <x:c r="G28" s="5" t="n">
        <x:v>0.14117577366809497</x:v>
      </x:c>
      <x:c r="H28" s="14" t="n">
        <x:v>433</x:v>
      </x:c>
      <x:c r="I28" s="14" t="n">
        <x:v>4984</x:v>
      </x:c>
      <x:c r="J28" s="14" t="n">
        <x:v>5417</x:v>
      </x:c>
      <x:c r="K28" s="16" t="n">
        <x:v>0.000905825</x:v>
      </x:c>
      <x:c r="L28" s="20" t="n">
        <x:v>107.46410092999577</x:v>
      </x:c>
      <x:c r="M28" s="10" t="n">
        <x:v>1</x:v>
      </x:c>
      <x:c r="N28" s="5" t="str">
        <x:v>Sail Research</x:v>
      </x:c>
      <x:c r="O28" s="5" t="str">
        <x:v>c3a41b8ea56471b20cc2ea31f3311b17b6c7d519497065d934f675abf8ff07b4</x:v>
      </x:c>
      <x:c r="P28" s="5" t="str">
        <x:v>S003</x:v>
      </x:c>
    </x:row>
    <x:row r="29" ht="22" customHeight="1">
      <x:c r="A29" s="11" t="n">
        <x:v>16006</x:v>
      </x:c>
      <x:c r="B29" s="9" t="str">
        <x:v>I</x:v>
      </x:c>
      <x:c r="C29" s="15" t="n">
        <x:v>32000</x:v>
      </x:c>
      <x:c r="D29" s="11" t="n">
        <x:v>1</x:v>
      </x:c>
      <x:c r="E29" s="9" t="str">
        <x:v>valid</x:v>
      </x:c>
      <x:c r="F29" s="9" t="str">
        <x:v>stop</x:v>
      </x:c>
      <x:c r="G29" s="9" t="n">
        <x:v>0.1377886768057887</x:v>
      </x:c>
      <x:c r="H29" s="15" t="n">
        <x:v>433</x:v>
      </x:c>
      <x:c r="I29" s="15" t="n">
        <x:v>4684</x:v>
      </x:c>
      <x:c r="J29" s="15" t="n">
        <x:v>5117</x:v>
      </x:c>
      <x:c r="K29" s="17" t="n">
        <x:v>0.00136781</x:v>
      </x:c>
      <x:c r="L29" s="21" t="n">
        <x:v>56.36537210900133</x:v>
      </x:c>
      <x:c r="M29" s="11" t="n">
        <x:v>2</x:v>
      </x:c>
      <x:c r="N29" s="9" t="str">
        <x:v>Inceptron</x:v>
      </x:c>
      <x:c r="O29" s="9" t="str">
        <x:v>29873871b38124eca59b11dbe57f7e66b4a9ba2c97c21ac4c9868f834c05055d</x:v>
      </x:c>
      <x:c r="P29" s="9" t="str">
        <x:v>S003</x:v>
      </x:c>
    </x:row>
    <x:row r="33" ht="44" customHeight="1">
      <x:c r="A33" s="8" t="str">
        <x:v>Plafond tokens</x:v>
      </x:c>
      <x:c r="B33" s="8" t="str">
        <x:v>Réponses</x:v>
      </x:c>
      <x:c r="C33" s="8" t="str">
        <x:v>Éligibles</x:v>
      </x:c>
      <x:c r="D33" s="8" t="str">
        <x:v>Fraction éligible</x:v>
      </x:c>
      <x:c r="E33" s="8" t="str">
        <x:v>Fins length</x:v>
      </x:c>
      <x:c r="F33" s="8" t="str">
        <x:v>Coût USD</x:v>
      </x:c>
      <x:c r="G33" s="8" t="str">
        <x:v>Tokens totaux</x:v>
      </x:c>
      <x:c r="H33" s="8" t="str">
        <x:v>Source</x:v>
      </x:c>
    </x:row>
    <x:row r="34" ht="22" customHeight="1">
      <x:c r="A34" s="14" t="n">
        <x:v>8000</x:v>
      </x:c>
      <x:c r="B34" s="10" t="n">
        <x:f>COUNTIF(C6:C29,A34)</x:f>
        <x:v>12</x:v>
      </x:c>
      <x:c r="C34" s="10" t="n">
        <x:f>COUNTIFS(C6:C29,A34,D6:D29,1)</x:f>
        <x:v>8</x:v>
      </x:c>
      <x:c r="D34" s="12" t="n">
        <x:f>C34/B34</x:f>
        <x:v>0.6666666666666666</x:v>
      </x:c>
      <x:c r="E34" s="10" t="n">
        <x:f>COUNTIFS(C6:C29,A34,F6:F29,"length")</x:f>
        <x:v>1</x:v>
      </x:c>
      <x:c r="F34" s="16" t="n">
        <x:f>SUMIF(C6:C29,A34,K6:K29)</x:f>
        <x:v>0.010260145</x:v>
      </x:c>
      <x:c r="G34" s="14" t="n">
        <x:f>SUMIF(C6:C29,A34,J6:J29)</x:f>
        <x:v>78977</x:v>
      </x:c>
      <x:c r="H34" s="5" t="str">
        <x:v>S003</x:v>
      </x:c>
    </x:row>
    <x:row r="35" ht="22" customHeight="1">
      <x:c r="A35" s="15" t="n">
        <x:v>32000</x:v>
      </x:c>
      <x:c r="B35" s="11" t="n">
        <x:f>COUNTIF(C6:C29,A35)</x:f>
        <x:v>12</x:v>
      </x:c>
      <x:c r="C35" s="11" t="n">
        <x:f>COUNTIFS(C6:C29,A35,D6:D29,1)</x:f>
        <x:v>10</x:v>
      </x:c>
      <x:c r="D35" s="13" t="n">
        <x:f>C35/B35</x:f>
        <x:v>0.8333333333333334</x:v>
      </x:c>
      <x:c r="E35" s="11" t="n">
        <x:f>COUNTIFS(C6:C29,A35,F6:F29,"length")</x:f>
        <x:v>0</x:v>
      </x:c>
      <x:c r="F35" s="17" t="n">
        <x:f>SUMIF(C6:C29,A35,K6:K29)</x:f>
        <x:v>0.010471155</x:v>
      </x:c>
      <x:c r="G35" s="15" t="n">
        <x:f>SUMIF(C6:C29,A35,J6:J29)</x:f>
        <x:v>80805</x:v>
      </x:c>
      <x:c r="H35" s="9" t="str">
        <x:v>S003</x:v>
      </x:c>
    </x:row>
  </x:sheetData>
  <x:pageMargins left="0.7" right="0.7" top="0.75" bottom="0.75" header="0.3" footer="0.3"/>
  <x:tableParts count="2">
    <x:tablePart xmlns:r="http://schemas.openxmlformats.org/officeDocument/2006/relationships" r:id="Re539f222e02d46a9"/>
    <x:tablePart xmlns:r="http://schemas.openxmlformats.org/officeDocument/2006/relationships" r:id="R5fe35e27ee074d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5" hidden="0" customWidth="1"/>
    <x:col min="10" max="10" width="15" hidden="0" customWidth="1"/>
    <x:col min="11" max="11" width="15" hidden="0" customWidth="1"/>
  </x:cols>
  <x:sheetData>
    <x:row r="1" ht="29" customHeight="1">
      <x:c r="A1" s="1" t="str">
        <x:v>B1 : politiques fixes et surface optimisable</x:v>
      </x:c>
    </x:row>
    <x:row r="2" ht="21" customHeight="1">
      <x:c r="A2" s="2" t="str">
        <x:v>384 trajectoires. Données de la figure headroom ; aucun bras de génération comparé.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Distribution</x:v>
      </x:c>
      <x:c r="B5" s="8" t="str">
        <x:v>Politique</x:v>
      </x:c>
      <x:c r="C5" s="8" t="str">
        <x:v>Trajectoires</x:v>
      </x:c>
      <x:c r="D5" s="8" t="str">
        <x:v>Valides</x:v>
      </x:c>
      <x:c r="E5" s="8" t="str">
        <x:v>Invalides</x:v>
      </x:c>
      <x:c r="F5" s="8" t="str">
        <x:v>AUC</x:v>
      </x:c>
      <x:c r="G5" s="8" t="str">
        <x:v>Regret final</x:v>
      </x:c>
      <x:c r="H5" s="8" t="str">
        <x:v>Cible atteinte</x:v>
      </x:c>
      <x:c r="I5" s="8" t="str">
        <x:v>Temps cible censuré</x:v>
      </x:c>
      <x:c r="J5" s="8" t="str">
        <x:v>Part AUC t≤8</x:v>
      </x:c>
      <x:c r="K5" s="8" t="str">
        <x:v>Source</x:v>
      </x:c>
    </x:row>
    <x:row r="6" ht="22" customHeight="1">
      <x:c r="A6" s="5" t="str">
        <x:v>central</x:v>
      </x:c>
      <x:c r="B6" s="5" t="str">
        <x:v>seed</x:v>
      </x:c>
      <x:c r="C6" s="10" t="n">
        <x:v>48</x:v>
      </x:c>
      <x:c r="D6" s="10" t="n">
        <x:v>48</x:v>
      </x:c>
      <x:c r="E6" s="10" t="n">
        <x:v>0</x:v>
      </x:c>
      <x:c r="F6" s="5" t="n">
        <x:v>0.19229992774547872</x:v>
      </x:c>
      <x:c r="G6" s="5" t="n">
        <x:v>0.02094624361151289</x:v>
      </x:c>
      <x:c r="H6" s="12" t="n">
        <x:v>0.6041666666666666</x:v>
      </x:c>
      <x:c r="I6" s="5" t="n">
        <x:v>21.979166666666668</x:v>
      </x:c>
      <x:c r="J6" s="12" t="n">
        <x:v>0.6884096764444371</x:v>
      </x:c>
      <x:c r="K6" s="5" t="str">
        <x:v>S004</x:v>
      </x:c>
    </x:row>
    <x:row r="7" ht="22" customHeight="1">
      <x:c r="A7" s="9" t="str">
        <x:v>central</x:v>
      </x:c>
      <x:c r="B7" s="9" t="str">
        <x:v>uniform</x:v>
      </x:c>
      <x:c r="C7" s="11" t="n">
        <x:v>48</x:v>
      </x:c>
      <x:c r="D7" s="11" t="n">
        <x:v>48</x:v>
      </x:c>
      <x:c r="E7" s="11" t="n">
        <x:v>0</x:v>
      </x:c>
      <x:c r="F7" s="9" t="n">
        <x:v>0.1264870064723069</x:v>
      </x:c>
      <x:c r="G7" s="9" t="n">
        <x:v>0.0775033823647568</x:v>
      </x:c>
      <x:c r="H7" s="13" t="n">
        <x:v>0.16666666666666666</x:v>
      </x:c>
      <x:c r="I7" s="9" t="n">
        <x:v>28.666666666666668</x:v>
      </x:c>
      <x:c r="J7" s="13" t="n">
        <x:v>0.5694488720623991</x:v>
      </x:c>
      <x:c r="K7" s="9" t="str">
        <x:v>S004</x:v>
      </x:c>
    </x:row>
    <x:row r="8" ht="22" customHeight="1">
      <x:c r="A8" s="5" t="str">
        <x:v>central</x:v>
      </x:c>
      <x:c r="B8" s="5" t="str">
        <x:v>midpoint</x:v>
      </x:c>
      <x:c r="C8" s="10" t="n">
        <x:v>48</x:v>
      </x:c>
      <x:c r="D8" s="10" t="n">
        <x:v>48</x:v>
      </x:c>
      <x:c r="E8" s="10" t="n">
        <x:v>0</x:v>
      </x:c>
      <x:c r="F8" s="5" t="n">
        <x:v>0.11608744700197686</x:v>
      </x:c>
      <x:c r="G8" s="5" t="n">
        <x:v>0.11608744700197686</x:v>
      </x:c>
      <x:c r="H8" s="12" t="n">
        <x:v>0.16666666666666666</x:v>
      </x:c>
      <x:c r="I8" s="5" t="n">
        <x:v>27.666666666666668</x:v>
      </x:c>
      <x:c r="J8" s="12" t="n">
        <x:v>0.25</x:v>
      </x:c>
      <x:c r="K8" s="5" t="str">
        <x:v>S004</x:v>
      </x:c>
    </x:row>
    <x:row r="9" ht="22" customHeight="1">
      <x:c r="A9" s="9" t="str">
        <x:v>central</x:v>
      </x:c>
      <x:c r="B9" s="9" t="str">
        <x:v>representative41</x:v>
      </x:c>
      <x:c r="C9" s="11" t="n">
        <x:v>48</x:v>
      </x:c>
      <x:c r="D9" s="11" t="n">
        <x:v>48</x:v>
      </x:c>
      <x:c r="E9" s="11" t="n">
        <x:v>0</x:v>
      </x:c>
      <x:c r="F9" s="9" t="n">
        <x:v>0.07761520177851515</x:v>
      </x:c>
      <x:c r="G9" s="9" t="n">
        <x:v>0.005263427345801845</x:v>
      </x:c>
      <x:c r="H9" s="13" t="n">
        <x:v>0.8541666666666666</x:v>
      </x:c>
      <x:c r="I9" s="9" t="n">
        <x:v>17.25</x:v>
      </x:c>
      <x:c r="J9" s="13" t="n">
        <x:v>0.7051278623139661</x:v>
      </x:c>
      <x:c r="K9" s="9" t="str">
        <x:v>S004</x:v>
      </x:c>
    </x:row>
    <x:row r="10" ht="22" customHeight="1">
      <x:c r="A10" s="5" t="str">
        <x:v>broad</x:v>
      </x:c>
      <x:c r="B10" s="5" t="str">
        <x:v>seed</x:v>
      </x:c>
      <x:c r="C10" s="10" t="n">
        <x:v>48</x:v>
      </x:c>
      <x:c r="D10" s="10" t="n">
        <x:v>48</x:v>
      </x:c>
      <x:c r="E10" s="10" t="n">
        <x:v>0</x:v>
      </x:c>
      <x:c r="F10" s="5" t="n">
        <x:v>0.16790551798527645</x:v>
      </x:c>
      <x:c r="G10" s="5" t="n">
        <x:v>0.011339953995163146</x:v>
      </x:c>
      <x:c r="H10" s="12" t="n">
        <x:v>0.7083333333333334</x:v>
      </x:c>
      <x:c r="I10" s="5" t="n">
        <x:v>21.145833333333332</x:v>
      </x:c>
      <x:c r="J10" s="12" t="n">
        <x:v>0.7648813140870949</x:v>
      </x:c>
      <x:c r="K10" s="5" t="str">
        <x:v>S004</x:v>
      </x:c>
    </x:row>
    <x:row r="11" ht="22" customHeight="1">
      <x:c r="A11" s="9" t="str">
        <x:v>broad</x:v>
      </x:c>
      <x:c r="B11" s="9" t="str">
        <x:v>uniform</x:v>
      </x:c>
      <x:c r="C11" s="11" t="n">
        <x:v>48</x:v>
      </x:c>
      <x:c r="D11" s="11" t="n">
        <x:v>48</x:v>
      </x:c>
      <x:c r="E11" s="11" t="n">
        <x:v>0</x:v>
      </x:c>
      <x:c r="F11" s="9" t="n">
        <x:v>0.1329259782775078</x:v>
      </x:c>
      <x:c r="G11" s="9" t="n">
        <x:v>0.05151090410512259</x:v>
      </x:c>
      <x:c r="H11" s="13" t="n">
        <x:v>0.5</x:v>
      </x:c>
      <x:c r="I11" s="9" t="n">
        <x:v>25.25</x:v>
      </x:c>
      <x:c r="J11" s="13" t="n">
        <x:v>0.6043408118952044</x:v>
      </x:c>
      <x:c r="K11" s="9" t="str">
        <x:v>S004</x:v>
      </x:c>
    </x:row>
    <x:row r="12" ht="22" customHeight="1">
      <x:c r="A12" s="5" t="str">
        <x:v>broad</x:v>
      </x:c>
      <x:c r="B12" s="5" t="str">
        <x:v>midpoint</x:v>
      </x:c>
      <x:c r="C12" s="10" t="n">
        <x:v>48</x:v>
      </x:c>
      <x:c r="D12" s="10" t="n">
        <x:v>48</x:v>
      </x:c>
      <x:c r="E12" s="10" t="n">
        <x:v>0</x:v>
      </x:c>
      <x:c r="F12" s="5" t="n">
        <x:v>0.32879131039310494</x:v>
      </x:c>
      <x:c r="G12" s="5" t="n">
        <x:v>0.32879131039310494</x:v>
      </x:c>
      <x:c r="H12" s="12" t="n">
        <x:v>0.08333333333333333</x:v>
      </x:c>
      <x:c r="I12" s="5" t="n">
        <x:v>30.333333333333332</x:v>
      </x:c>
      <x:c r="J12" s="12" t="n">
        <x:v>0.25</x:v>
      </x:c>
      <x:c r="K12" s="5" t="str">
        <x:v>S004</x:v>
      </x:c>
    </x:row>
    <x:row r="13" ht="22" customHeight="1">
      <x:c r="A13" s="9" t="str">
        <x:v>broad</x:v>
      </x:c>
      <x:c r="B13" s="9" t="str">
        <x:v>representative41</x:v>
      </x:c>
      <x:c r="C13" s="11" t="n">
        <x:v>48</x:v>
      </x:c>
      <x:c r="D13" s="11" t="n">
        <x:v>48</x:v>
      </x:c>
      <x:c r="E13" s="11" t="n">
        <x:v>0</x:v>
      </x:c>
      <x:c r="F13" s="9" t="n">
        <x:v>0.07429696178011358</x:v>
      </x:c>
      <x:c r="G13" s="9" t="n">
        <x:v>0.00377284462188365</x:v>
      </x:c>
      <x:c r="H13" s="13" t="n">
        <x:v>0.8958333333333334</x:v>
      </x:c>
      <x:c r="I13" s="9" t="n">
        <x:v>15.166666666666666</x:v>
      </x:c>
      <x:c r="J13" s="13" t="n">
        <x:v>0.793922767557386</x:v>
      </x:c>
      <x:c r="K13" s="9" t="str">
        <x:v>S004</x:v>
      </x:c>
    </x:row>
  </x:sheetData>
  <x:pageMargins left="0.7" right="0.7" top="0.75" bottom="0.75" header="0.3" footer="0.3"/>
  <x:tableParts count="1">
    <x:tablePart xmlns:r="http://schemas.openxmlformats.org/officeDocument/2006/relationships" r:id="Rbc6686fc9c2b421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15" hidden="0" customWidth="1"/>
    <x:col min="4" max="4" width="30" hidden="0" customWidth="1"/>
    <x:col min="5" max="5" width="15" hidden="0" customWidth="1"/>
  </x:cols>
  <x:sheetData>
    <x:row r="1" ht="29" customHeight="1">
      <x:c r="A1" s="1" t="str">
        <x:v>B1 : courbes moyennes exactes</x:v>
      </x:c>
    </x:row>
    <x:row r="2" ht="21" customHeight="1">
      <x:c r="A2" s="2" t="str">
        <x:v>32 points × 4 politiques × 2 distributions, sans écrêtage.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Distribution</x:v>
      </x:c>
      <x:c r="B5" s="8" t="str">
        <x:v>Politique</x:v>
      </x:c>
      <x:c r="C5" s="8" t="str">
        <x:v>Évaluation t</x:v>
      </x:c>
      <x:c r="D5" s="8" t="str">
        <x:v>Regret normalisé moyen</x:v>
      </x:c>
      <x:c r="E5" s="8" t="str">
        <x:v>Source</x:v>
      </x:c>
    </x:row>
    <x:row r="6" ht="22" customHeight="1">
      <x:c r="A6" s="5" t="str">
        <x:v>central</x:v>
      </x:c>
      <x:c r="B6" s="5" t="str">
        <x:v>seed</x:v>
      </x:c>
      <x:c r="C6" s="10" t="n">
        <x:v>1</x:v>
      </x:c>
      <x:c r="D6" s="5" t="n">
        <x:v>0.9605230264255709</x:v>
      </x:c>
      <x:c r="E6" s="5" t="str">
        <x:v>S004</x:v>
      </x:c>
    </x:row>
    <x:row r="7" ht="22" customHeight="1">
      <x:c r="A7" s="9" t="str">
        <x:v>central</x:v>
      </x:c>
      <x:c r="B7" s="9" t="str">
        <x:v>seed</x:v>
      </x:c>
      <x:c r="C7" s="11" t="n">
        <x:v>2</x:v>
      </x:c>
      <x:c r="D7" s="9" t="n">
        <x:v>0.8700836578372336</x:v>
      </x:c>
      <x:c r="E7" s="9" t="str">
        <x:v>S004</x:v>
      </x:c>
    </x:row>
    <x:row r="8" ht="22" customHeight="1">
      <x:c r="A8" s="5" t="str">
        <x:v>central</x:v>
      </x:c>
      <x:c r="B8" s="5" t="str">
        <x:v>seed</x:v>
      </x:c>
      <x:c r="C8" s="10" t="n">
        <x:v>3</x:v>
      </x:c>
      <x:c r="D8" s="5" t="n">
        <x:v>0.6071051865344612</x:v>
      </x:c>
      <x:c r="E8" s="5" t="str">
        <x:v>S004</x:v>
      </x:c>
    </x:row>
    <x:row r="9" ht="22" customHeight="1">
      <x:c r="A9" s="9" t="str">
        <x:v>central</x:v>
      </x:c>
      <x:c r="B9" s="9" t="str">
        <x:v>seed</x:v>
      </x:c>
      <x:c r="C9" s="11" t="n">
        <x:v>4</x:v>
      </x:c>
      <x:c r="D9" s="9" t="n">
        <x:v>0.46401315716572994</x:v>
      </x:c>
      <x:c r="E9" s="9" t="str">
        <x:v>S004</x:v>
      </x:c>
    </x:row>
    <x:row r="10" ht="22" customHeight="1">
      <x:c r="A10" s="5" t="str">
        <x:v>central</x:v>
      </x:c>
      <x:c r="B10" s="5" t="str">
        <x:v>seed</x:v>
      </x:c>
      <x:c r="C10" s="10" t="n">
        <x:v>5</x:v>
      </x:c>
      <x:c r="D10" s="5" t="n">
        <x:v>0.4246847402257114</x:v>
      </x:c>
      <x:c r="E10" s="5" t="str">
        <x:v>S004</x:v>
      </x:c>
    </x:row>
    <x:row r="11" ht="22" customHeight="1">
      <x:c r="A11" s="9" t="str">
        <x:v>central</x:v>
      </x:c>
      <x:c r="B11" s="9" t="str">
        <x:v>seed</x:v>
      </x:c>
      <x:c r="C11" s="11" t="n">
        <x:v>6</x:v>
      </x:c>
      <x:c r="D11" s="9" t="n">
        <x:v>0.37726329914261575</x:v>
      </x:c>
      <x:c r="E11" s="9" t="str">
        <x:v>S004</x:v>
      </x:c>
    </x:row>
    <x:row r="12" ht="22" customHeight="1">
      <x:c r="A12" s="5" t="str">
        <x:v>central</x:v>
      </x:c>
      <x:c r="B12" s="5" t="str">
        <x:v>seed</x:v>
      </x:c>
      <x:c r="C12" s="10" t="n">
        <x:v>7</x:v>
      </x:c>
      <x:c r="D12" s="5" t="n">
        <x:v>0.26102431805658294</x:v>
      </x:c>
      <x:c r="E12" s="5" t="str">
        <x:v>S004</x:v>
      </x:c>
    </x:row>
    <x:row r="13" ht="22" customHeight="1">
      <x:c r="A13" s="9" t="str">
        <x:v>central</x:v>
      </x:c>
      <x:c r="B13" s="9" t="str">
        <x:v>seed</x:v>
      </x:c>
      <x:c r="C13" s="11" t="n">
        <x:v>8</x:v>
      </x:c>
      <x:c r="D13" s="9" t="n">
        <x:v>0.19896700279180468</x:v>
      </x:c>
      <x:c r="E13" s="9" t="str">
        <x:v>S004</x:v>
      </x:c>
    </x:row>
    <x:row r="14" ht="22" customHeight="1">
      <x:c r="A14" s="5" t="str">
        <x:v>central</x:v>
      </x:c>
      <x:c r="B14" s="5" t="str">
        <x:v>seed</x:v>
      </x:c>
      <x:c r="C14" s="10" t="n">
        <x:v>9</x:v>
      </x:c>
      <x:c r="D14" s="5" t="n">
        <x:v>0.18403921314611485</x:v>
      </x:c>
      <x:c r="E14" s="5" t="str">
        <x:v>S004</x:v>
      </x:c>
    </x:row>
    <x:row r="15" ht="22" customHeight="1">
      <x:c r="A15" s="9" t="str">
        <x:v>central</x:v>
      </x:c>
      <x:c r="B15" s="9" t="str">
        <x:v>seed</x:v>
      </x:c>
      <x:c r="C15" s="11" t="n">
        <x:v>10</x:v>
      </x:c>
      <x:c r="D15" s="9" t="n">
        <x:v>0.1835339696587313</x:v>
      </x:c>
      <x:c r="E15" s="9" t="str">
        <x:v>S004</x:v>
      </x:c>
    </x:row>
    <x:row r="16" ht="22" customHeight="1">
      <x:c r="A16" s="5" t="str">
        <x:v>central</x:v>
      </x:c>
      <x:c r="B16" s="5" t="str">
        <x:v>seed</x:v>
      </x:c>
      <x:c r="C16" s="10" t="n">
        <x:v>11</x:v>
      </x:c>
      <x:c r="D16" s="5" t="n">
        <x:v>0.17264766814092888</x:v>
      </x:c>
      <x:c r="E16" s="5" t="str">
        <x:v>S004</x:v>
      </x:c>
    </x:row>
    <x:row r="17" ht="22" customHeight="1">
      <x:c r="A17" s="9" t="str">
        <x:v>central</x:v>
      </x:c>
      <x:c r="B17" s="9" t="str">
        <x:v>seed</x:v>
      </x:c>
      <x:c r="C17" s="11" t="n">
        <x:v>12</x:v>
      </x:c>
      <x:c r="D17" s="9" t="n">
        <x:v>0.15633927822226995</x:v>
      </x:c>
      <x:c r="E17" s="9" t="str">
        <x:v>S004</x:v>
      </x:c>
    </x:row>
    <x:row r="18" ht="22" customHeight="1">
      <x:c r="A18" s="5" t="str">
        <x:v>central</x:v>
      </x:c>
      <x:c r="B18" s="5" t="str">
        <x:v>seed</x:v>
      </x:c>
      <x:c r="C18" s="10" t="n">
        <x:v>13</x:v>
      </x:c>
      <x:c r="D18" s="5" t="n">
        <x:v>0.11191035079341904</x:v>
      </x:c>
      <x:c r="E18" s="5" t="str">
        <x:v>S004</x:v>
      </x:c>
    </x:row>
    <x:row r="19" ht="22" customHeight="1">
      <x:c r="A19" s="9" t="str">
        <x:v>central</x:v>
      </x:c>
      <x:c r="B19" s="9" t="str">
        <x:v>seed</x:v>
      </x:c>
      <x:c r="C19" s="11" t="n">
        <x:v>14</x:v>
      </x:c>
      <x:c r="D19" s="9" t="n">
        <x:v>0.10504749286806597</x:v>
      </x:c>
      <x:c r="E19" s="9" t="str">
        <x:v>S004</x:v>
      </x:c>
    </x:row>
    <x:row r="20" ht="22" customHeight="1">
      <x:c r="A20" s="5" t="str">
        <x:v>central</x:v>
      </x:c>
      <x:c r="B20" s="5" t="str">
        <x:v>seed</x:v>
      </x:c>
      <x:c r="C20" s="10" t="n">
        <x:v>15</x:v>
      </x:c>
      <x:c r="D20" s="5" t="n">
        <x:v>0.09186470083528717</x:v>
      </x:c>
      <x:c r="E20" s="5" t="str">
        <x:v>S004</x:v>
      </x:c>
    </x:row>
    <x:row r="21" ht="22" customHeight="1">
      <x:c r="A21" s="9" t="str">
        <x:v>central</x:v>
      </x:c>
      <x:c r="B21" s="9" t="str">
        <x:v>seed</x:v>
      </x:c>
      <x:c r="C21" s="11" t="n">
        <x:v>16</x:v>
      </x:c>
      <x:c r="D21" s="9" t="n">
        <x:v>0.0901693812828357</x:v>
      </x:c>
      <x:c r="E21" s="9" t="str">
        <x:v>S004</x:v>
      </x:c>
    </x:row>
    <x:row r="22" ht="22" customHeight="1">
      <x:c r="A22" s="5" t="str">
        <x:v>central</x:v>
      </x:c>
      <x:c r="B22" s="5" t="str">
        <x:v>seed</x:v>
      </x:c>
      <x:c r="C22" s="10" t="n">
        <x:v>17</x:v>
      </x:c>
      <x:c r="D22" s="5" t="n">
        <x:v>0.08500148578649588</x:v>
      </x:c>
      <x:c r="E22" s="5" t="str">
        <x:v>S004</x:v>
      </x:c>
    </x:row>
    <x:row r="23" ht="22" customHeight="1">
      <x:c r="A23" s="9" t="str">
        <x:v>central</x:v>
      </x:c>
      <x:c r="B23" s="9" t="str">
        <x:v>seed</x:v>
      </x:c>
      <x:c r="C23" s="11" t="n">
        <x:v>18</x:v>
      </x:c>
      <x:c r="D23" s="9" t="n">
        <x:v>0.08083822661642562</x:v>
      </x:c>
      <x:c r="E23" s="9" t="str">
        <x:v>S004</x:v>
      </x:c>
    </x:row>
    <x:row r="24" ht="22" customHeight="1">
      <x:c r="A24" s="5" t="str">
        <x:v>central</x:v>
      </x:c>
      <x:c r="B24" s="5" t="str">
        <x:v>seed</x:v>
      </x:c>
      <x:c r="C24" s="10" t="n">
        <x:v>19</x:v>
      </x:c>
      <x:c r="D24" s="5" t="n">
        <x:v>0.07281951182627167</x:v>
      </x:c>
      <x:c r="E24" s="5" t="str">
        <x:v>S004</x:v>
      </x:c>
    </x:row>
    <x:row r="25" ht="22" customHeight="1">
      <x:c r="A25" s="9" t="str">
        <x:v>central</x:v>
      </x:c>
      <x:c r="B25" s="9" t="str">
        <x:v>seed</x:v>
      </x:c>
      <x:c r="C25" s="11" t="n">
        <x:v>20</x:v>
      </x:c>
      <x:c r="D25" s="9" t="n">
        <x:v>0.0677066475019442</x:v>
      </x:c>
      <x:c r="E25" s="9" t="str">
        <x:v>S004</x:v>
      </x:c>
    </x:row>
    <x:row r="26" ht="22" customHeight="1">
      <x:c r="A26" s="5" t="str">
        <x:v>central</x:v>
      </x:c>
      <x:c r="B26" s="5" t="str">
        <x:v>seed</x:v>
      </x:c>
      <x:c r="C26" s="10" t="n">
        <x:v>21</x:v>
      </x:c>
      <x:c r="D26" s="5" t="n">
        <x:v>0.06574486218141584</x:v>
      </x:c>
      <x:c r="E26" s="5" t="str">
        <x:v>S004</x:v>
      </x:c>
    </x:row>
    <x:row r="27" ht="22" customHeight="1">
      <x:c r="A27" s="9" t="str">
        <x:v>central</x:v>
      </x:c>
      <x:c r="B27" s="9" t="str">
        <x:v>seed</x:v>
      </x:c>
      <x:c r="C27" s="11" t="n">
        <x:v>22</x:v>
      </x:c>
      <x:c r="D27" s="9" t="n">
        <x:v>0.06255890515872076</x:v>
      </x:c>
      <x:c r="E27" s="9" t="str">
        <x:v>S004</x:v>
      </x:c>
    </x:row>
    <x:row r="28" ht="22" customHeight="1">
      <x:c r="A28" s="5" t="str">
        <x:v>central</x:v>
      </x:c>
      <x:c r="B28" s="5" t="str">
        <x:v>seed</x:v>
      </x:c>
      <x:c r="C28" s="10" t="n">
        <x:v>23</x:v>
      </x:c>
      <x:c r="D28" s="5" t="n">
        <x:v>0.05986636418033001</x:v>
      </x:c>
      <x:c r="E28" s="5" t="str">
        <x:v>S004</x:v>
      </x:c>
    </x:row>
    <x:row r="29" ht="22" customHeight="1">
      <x:c r="A29" s="9" t="str">
        <x:v>central</x:v>
      </x:c>
      <x:c r="B29" s="9" t="str">
        <x:v>seed</x:v>
      </x:c>
      <x:c r="C29" s="11" t="n">
        <x:v>24</x:v>
      </x:c>
      <x:c r="D29" s="9" t="n">
        <x:v>0.058283518867906586</x:v>
      </x:c>
      <x:c r="E29" s="9" t="str">
        <x:v>S004</x:v>
      </x:c>
    </x:row>
    <x:row r="30" ht="22" customHeight="1">
      <x:c r="A30" s="5" t="str">
        <x:v>central</x:v>
      </x:c>
      <x:c r="B30" s="5" t="str">
        <x:v>seed</x:v>
      </x:c>
      <x:c r="C30" s="10" t="n">
        <x:v>25</x:v>
      </x:c>
      <x:c r="D30" s="5" t="n">
        <x:v>0.05669303304928655</x:v>
      </x:c>
      <x:c r="E30" s="5" t="str">
        <x:v>S004</x:v>
      </x:c>
    </x:row>
    <x:row r="31" ht="22" customHeight="1">
      <x:c r="A31" s="9" t="str">
        <x:v>central</x:v>
      </x:c>
      <x:c r="B31" s="9" t="str">
        <x:v>seed</x:v>
      </x:c>
      <x:c r="C31" s="11" t="n">
        <x:v>26</x:v>
      </x:c>
      <x:c r="D31" s="9" t="n">
        <x:v>0.056692745560886416</x:v>
      </x:c>
      <x:c r="E31" s="9" t="str">
        <x:v>S004</x:v>
      </x:c>
    </x:row>
    <x:row r="32" ht="22" customHeight="1">
      <x:c r="A32" s="5" t="str">
        <x:v>central</x:v>
      </x:c>
      <x:c r="B32" s="5" t="str">
        <x:v>seed</x:v>
      </x:c>
      <x:c r="C32" s="10" t="n">
        <x:v>27</x:v>
      </x:c>
      <x:c r="D32" s="5" t="n">
        <x:v>0.05646104551139829</x:v>
      </x:c>
      <x:c r="E32" s="5" t="str">
        <x:v>S004</x:v>
      </x:c>
    </x:row>
    <x:row r="33" ht="22" customHeight="1">
      <x:c r="A33" s="9" t="str">
        <x:v>central</x:v>
      </x:c>
      <x:c r="B33" s="9" t="str">
        <x:v>seed</x:v>
      </x:c>
      <x:c r="C33" s="11" t="n">
        <x:v>28</x:v>
      </x:c>
      <x:c r="D33" s="9" t="n">
        <x:v>0.0488248770297953</x:v>
      </x:c>
      <x:c r="E33" s="9" t="str">
        <x:v>S004</x:v>
      </x:c>
    </x:row>
    <x:row r="34" ht="22" customHeight="1">
      <x:c r="A34" s="5" t="str">
        <x:v>central</x:v>
      </x:c>
      <x:c r="B34" s="5" t="str">
        <x:v>seed</x:v>
      </x:c>
      <x:c r="C34" s="10" t="n">
        <x:v>29</x:v>
      </x:c>
      <x:c r="D34" s="5" t="n">
        <x:v>0.044484879039017385</x:v>
      </x:c>
      <x:c r="E34" s="5" t="str">
        <x:v>S004</x:v>
      </x:c>
    </x:row>
    <x:row r="35" ht="22" customHeight="1">
      <x:c r="A35" s="9" t="str">
        <x:v>central</x:v>
      </x:c>
      <x:c r="B35" s="9" t="str">
        <x:v>seed</x:v>
      </x:c>
      <x:c r="C35" s="11" t="n">
        <x:v>30</x:v>
      </x:c>
      <x:c r="D35" s="9" t="n">
        <x:v>0.03311479183869081</x:v>
      </x:c>
      <x:c r="E35" s="9" t="str">
        <x:v>S004</x:v>
      </x:c>
    </x:row>
    <x:row r="36" ht="22" customHeight="1">
      <x:c r="A36" s="5" t="str">
        <x:v>central</x:v>
      </x:c>
      <x:c r="B36" s="5" t="str">
        <x:v>seed</x:v>
      </x:c>
      <x:c r="C36" s="10" t="n">
        <x:v>31</x:v>
      </x:c>
      <x:c r="D36" s="5" t="n">
        <x:v>0.024344106967856907</x:v>
      </x:c>
      <x:c r="E36" s="5" t="str">
        <x:v>S004</x:v>
      </x:c>
    </x:row>
    <x:row r="37" ht="22" customHeight="1">
      <x:c r="A37" s="9" t="str">
        <x:v>central</x:v>
      </x:c>
      <x:c r="B37" s="9" t="str">
        <x:v>seed</x:v>
      </x:c>
      <x:c r="C37" s="11" t="n">
        <x:v>32</x:v>
      </x:c>
      <x:c r="D37" s="9" t="n">
        <x:v>0.02094624361151289</x:v>
      </x:c>
      <x:c r="E37" s="9" t="str">
        <x:v>S004</x:v>
      </x:c>
    </x:row>
    <x:row r="38" ht="22" customHeight="1">
      <x:c r="A38" s="5" t="str">
        <x:v>central</x:v>
      </x:c>
      <x:c r="B38" s="5" t="str">
        <x:v>uniform</x:v>
      </x:c>
      <x:c r="C38" s="10" t="n">
        <x:v>1</x:v>
      </x:c>
      <x:c r="D38" s="5" t="n">
        <x:v>0.9605230264255709</x:v>
      </x:c>
      <x:c r="E38" s="5" t="str">
        <x:v>S004</x:v>
      </x:c>
    </x:row>
    <x:row r="39" ht="22" customHeight="1">
      <x:c r="A39" s="9" t="str">
        <x:v>central</x:v>
      </x:c>
      <x:c r="B39" s="9" t="str">
        <x:v>uniform</x:v>
      </x:c>
      <x:c r="C39" s="11" t="n">
        <x:v>2</x:v>
      </x:c>
      <x:c r="D39" s="9" t="n">
        <x:v>0.27886320095708755</x:v>
      </x:c>
      <x:c r="E39" s="9" t="str">
        <x:v>S004</x:v>
      </x:c>
    </x:row>
    <x:row r="40" ht="22" customHeight="1">
      <x:c r="A40" s="5" t="str">
        <x:v>central</x:v>
      </x:c>
      <x:c r="B40" s="5" t="str">
        <x:v>uniform</x:v>
      </x:c>
      <x:c r="C40" s="10" t="n">
        <x:v>3</x:v>
      </x:c>
      <x:c r="D40" s="5" t="n">
        <x:v>0.2175222550206301</x:v>
      </x:c>
      <x:c r="E40" s="5" t="str">
        <x:v>S004</x:v>
      </x:c>
    </x:row>
    <x:row r="41" ht="22" customHeight="1">
      <x:c r="A41" s="9" t="str">
        <x:v>central</x:v>
      </x:c>
      <x:c r="B41" s="9" t="str">
        <x:v>uniform</x:v>
      </x:c>
      <x:c r="C41" s="11" t="n">
        <x:v>4</x:v>
      </x:c>
      <x:c r="D41" s="9" t="n">
        <x:v>0.13901587045286212</x:v>
      </x:c>
      <x:c r="E41" s="9" t="str">
        <x:v>S004</x:v>
      </x:c>
    </x:row>
    <x:row r="42" ht="22" customHeight="1">
      <x:c r="A42" s="5" t="str">
        <x:v>central</x:v>
      </x:c>
      <x:c r="B42" s="5" t="str">
        <x:v>uniform</x:v>
      </x:c>
      <x:c r="C42" s="10" t="n">
        <x:v>5</x:v>
      </x:c>
      <x:c r="D42" s="5" t="n">
        <x:v>0.1264589483055528</x:v>
      </x:c>
      <x:c r="E42" s="5" t="str">
        <x:v>S004</x:v>
      </x:c>
    </x:row>
    <x:row r="43" ht="22" customHeight="1">
      <x:c r="A43" s="9" t="str">
        <x:v>central</x:v>
      </x:c>
      <x:c r="B43" s="9" t="str">
        <x:v>uniform</x:v>
      </x:c>
      <x:c r="C43" s="11" t="n">
        <x:v>6</x:v>
      </x:c>
      <x:c r="D43" s="9" t="n">
        <x:v>0.11973598989891546</x:v>
      </x:c>
      <x:c r="E43" s="9" t="str">
        <x:v>S004</x:v>
      </x:c>
    </x:row>
    <x:row r="44" ht="22" customHeight="1">
      <x:c r="A44" s="5" t="str">
        <x:v>central</x:v>
      </x:c>
      <x:c r="B44" s="5" t="str">
        <x:v>uniform</x:v>
      </x:c>
      <x:c r="C44" s="10" t="n">
        <x:v>7</x:v>
      </x:c>
      <x:c r="D44" s="5" t="n">
        <x:v>0.11301303149227813</x:v>
      </x:c>
      <x:c r="E44" s="5" t="str">
        <x:v>S004</x:v>
      </x:c>
    </x:row>
    <x:row r="45" ht="22" customHeight="1">
      <x:c r="A45" s="9" t="str">
        <x:v>central</x:v>
      </x:c>
      <x:c r="B45" s="9" t="str">
        <x:v>uniform</x:v>
      </x:c>
      <x:c r="C45" s="11" t="n">
        <x:v>8</x:v>
      </x:c>
      <x:c r="D45" s="9" t="n">
        <x:v>0.11255961590762832</x:v>
      </x:c>
      <x:c r="E45" s="9" t="str">
        <x:v>S004</x:v>
      </x:c>
    </x:row>
    <x:row r="46" ht="22" customHeight="1">
      <x:c r="A46" s="5" t="str">
        <x:v>central</x:v>
      </x:c>
      <x:c r="B46" s="5" t="str">
        <x:v>uniform</x:v>
      </x:c>
      <x:c r="C46" s="10" t="n">
        <x:v>9</x:v>
      </x:c>
      <x:c r="D46" s="5" t="n">
        <x:v>0.10988024709556839</x:v>
      </x:c>
      <x:c r="E46" s="5" t="str">
        <x:v>S004</x:v>
      </x:c>
    </x:row>
    <x:row r="47" ht="22" customHeight="1">
      <x:c r="A47" s="9" t="str">
        <x:v>central</x:v>
      </x:c>
      <x:c r="B47" s="9" t="str">
        <x:v>uniform</x:v>
      </x:c>
      <x:c r="C47" s="11" t="n">
        <x:v>10</x:v>
      </x:c>
      <x:c r="D47" s="9" t="n">
        <x:v>0.09733872221791526</x:v>
      </x:c>
      <x:c r="E47" s="9" t="str">
        <x:v>S004</x:v>
      </x:c>
    </x:row>
    <x:row r="48" ht="22" customHeight="1">
      <x:c r="A48" s="5" t="str">
        <x:v>central</x:v>
      </x:c>
      <x:c r="B48" s="5" t="str">
        <x:v>uniform</x:v>
      </x:c>
      <x:c r="C48" s="10" t="n">
        <x:v>11</x:v>
      </x:c>
      <x:c r="D48" s="5" t="n">
        <x:v>0.08666203877997304</x:v>
      </x:c>
      <x:c r="E48" s="5" t="str">
        <x:v>S004</x:v>
      </x:c>
    </x:row>
    <x:row r="49" ht="22" customHeight="1">
      <x:c r="A49" s="9" t="str">
        <x:v>central</x:v>
      </x:c>
      <x:c r="B49" s="9" t="str">
        <x:v>uniform</x:v>
      </x:c>
      <x:c r="C49" s="11" t="n">
        <x:v>12</x:v>
      </x:c>
      <x:c r="D49" s="9" t="n">
        <x:v>0.08418434456257255</x:v>
      </x:c>
      <x:c r="E49" s="9" t="str">
        <x:v>S004</x:v>
      </x:c>
    </x:row>
    <x:row r="50" ht="22" customHeight="1">
      <x:c r="A50" s="5" t="str">
        <x:v>central</x:v>
      </x:c>
      <x:c r="B50" s="5" t="str">
        <x:v>uniform</x:v>
      </x:c>
      <x:c r="C50" s="10" t="n">
        <x:v>13</x:v>
      </x:c>
      <x:c r="D50" s="5" t="n">
        <x:v>0.0821656893492875</x:v>
      </x:c>
      <x:c r="E50" s="5" t="str">
        <x:v>S004</x:v>
      </x:c>
    </x:row>
    <x:row r="51" ht="22" customHeight="1">
      <x:c r="A51" s="9" t="str">
        <x:v>central</x:v>
      </x:c>
      <x:c r="B51" s="9" t="str">
        <x:v>uniform</x:v>
      </x:c>
      <x:c r="C51" s="11" t="n">
        <x:v>14</x:v>
      </x:c>
      <x:c r="D51" s="9" t="n">
        <x:v>0.08145406196763735</x:v>
      </x:c>
      <x:c r="E51" s="9" t="str">
        <x:v>S004</x:v>
      </x:c>
    </x:row>
    <x:row r="52" ht="22" customHeight="1">
      <x:c r="A52" s="5" t="str">
        <x:v>central</x:v>
      </x:c>
      <x:c r="B52" s="5" t="str">
        <x:v>uniform</x:v>
      </x:c>
      <x:c r="C52" s="10" t="n">
        <x:v>15</x:v>
      </x:c>
      <x:c r="D52" s="5" t="n">
        <x:v>0.0807424345859872</x:v>
      </x:c>
      <x:c r="E52" s="5" t="str">
        <x:v>S004</x:v>
      </x:c>
    </x:row>
    <x:row r="53" ht="22" customHeight="1">
      <x:c r="A53" s="9" t="str">
        <x:v>central</x:v>
      </x:c>
      <x:c r="B53" s="9" t="str">
        <x:v>uniform</x:v>
      </x:c>
      <x:c r="C53" s="11" t="n">
        <x:v>16</x:v>
      </x:c>
      <x:c r="D53" s="9" t="n">
        <x:v>0.0807424345859872</x:v>
      </x:c>
      <x:c r="E53" s="9" t="str">
        <x:v>S004</x:v>
      </x:c>
    </x:row>
    <x:row r="54" ht="22" customHeight="1">
      <x:c r="A54" s="5" t="str">
        <x:v>central</x:v>
      </x:c>
      <x:c r="B54" s="5" t="str">
        <x:v>uniform</x:v>
      </x:c>
      <x:c r="C54" s="10" t="n">
        <x:v>17</x:v>
      </x:c>
      <x:c r="D54" s="5" t="n">
        <x:v>0.0807424345859872</x:v>
      </x:c>
      <x:c r="E54" s="5" t="str">
        <x:v>S004</x:v>
      </x:c>
    </x:row>
    <x:row r="55" ht="22" customHeight="1">
      <x:c r="A55" s="9" t="str">
        <x:v>central</x:v>
      </x:c>
      <x:c r="B55" s="9" t="str">
        <x:v>uniform</x:v>
      </x:c>
      <x:c r="C55" s="11" t="n">
        <x:v>18</x:v>
      </x:c>
      <x:c r="D55" s="9" t="n">
        <x:v>0.0807424345859872</x:v>
      </x:c>
      <x:c r="E55" s="9" t="str">
        <x:v>S004</x:v>
      </x:c>
    </x:row>
    <x:row r="56" ht="22" customHeight="1">
      <x:c r="A56" s="5" t="str">
        <x:v>central</x:v>
      </x:c>
      <x:c r="B56" s="5" t="str">
        <x:v>uniform</x:v>
      </x:c>
      <x:c r="C56" s="10" t="n">
        <x:v>19</x:v>
      </x:c>
      <x:c r="D56" s="5" t="n">
        <x:v>0.0807424345859872</x:v>
      </x:c>
      <x:c r="E56" s="5" t="str">
        <x:v>S004</x:v>
      </x:c>
    </x:row>
    <x:row r="57" ht="22" customHeight="1">
      <x:c r="A57" s="9" t="str">
        <x:v>central</x:v>
      </x:c>
      <x:c r="B57" s="9" t="str">
        <x:v>uniform</x:v>
      </x:c>
      <x:c r="C57" s="11" t="n">
        <x:v>20</x:v>
      </x:c>
      <x:c r="D57" s="9" t="n">
        <x:v>0.0807424345859872</x:v>
      </x:c>
      <x:c r="E57" s="9" t="str">
        <x:v>S004</x:v>
      </x:c>
    </x:row>
    <x:row r="58" ht="22" customHeight="1">
      <x:c r="A58" s="5" t="str">
        <x:v>central</x:v>
      </x:c>
      <x:c r="B58" s="5" t="str">
        <x:v>uniform</x:v>
      </x:c>
      <x:c r="C58" s="10" t="n">
        <x:v>21</x:v>
      </x:c>
      <x:c r="D58" s="5" t="n">
        <x:v>0.0807424345859872</x:v>
      </x:c>
      <x:c r="E58" s="5" t="str">
        <x:v>S004</x:v>
      </x:c>
    </x:row>
    <x:row r="59" ht="22" customHeight="1">
      <x:c r="A59" s="9" t="str">
        <x:v>central</x:v>
      </x:c>
      <x:c r="B59" s="9" t="str">
        <x:v>uniform</x:v>
      </x:c>
      <x:c r="C59" s="11" t="n">
        <x:v>22</x:v>
      </x:c>
      <x:c r="D59" s="9" t="n">
        <x:v>0.0807424345859872</x:v>
      </x:c>
      <x:c r="E59" s="9" t="str">
        <x:v>S004</x:v>
      </x:c>
    </x:row>
    <x:row r="60" ht="22" customHeight="1">
      <x:c r="A60" s="5" t="str">
        <x:v>central</x:v>
      </x:c>
      <x:c r="B60" s="5" t="str">
        <x:v>uniform</x:v>
      </x:c>
      <x:c r="C60" s="10" t="n">
        <x:v>23</x:v>
      </x:c>
      <x:c r="D60" s="5" t="n">
        <x:v>0.0805661989460073</x:v>
      </x:c>
      <x:c r="E60" s="5" t="str">
        <x:v>S004</x:v>
      </x:c>
    </x:row>
    <x:row r="61" ht="22" customHeight="1">
      <x:c r="A61" s="9" t="str">
        <x:v>central</x:v>
      </x:c>
      <x:c r="B61" s="9" t="str">
        <x:v>uniform</x:v>
      </x:c>
      <x:c r="C61" s="11" t="n">
        <x:v>24</x:v>
      </x:c>
      <x:c r="D61" s="9" t="n">
        <x:v>0.08038996330602739</x:v>
      </x:c>
      <x:c r="E61" s="9" t="str">
        <x:v>S004</x:v>
      </x:c>
    </x:row>
    <x:row r="62" ht="22" customHeight="1">
      <x:c r="A62" s="5" t="str">
        <x:v>central</x:v>
      </x:c>
      <x:c r="B62" s="5" t="str">
        <x:v>uniform</x:v>
      </x:c>
      <x:c r="C62" s="10" t="n">
        <x:v>25</x:v>
      </x:c>
      <x:c r="D62" s="5" t="n">
        <x:v>0.0802137276660475</x:v>
      </x:c>
      <x:c r="E62" s="5" t="str">
        <x:v>S004</x:v>
      </x:c>
    </x:row>
    <x:row r="63" ht="22" customHeight="1">
      <x:c r="A63" s="9" t="str">
        <x:v>central</x:v>
      </x:c>
      <x:c r="B63" s="9" t="str">
        <x:v>uniform</x:v>
      </x:c>
      <x:c r="C63" s="11" t="n">
        <x:v>26</x:v>
      </x:c>
      <x:c r="D63" s="9" t="n">
        <x:v>0.0800374920260676</x:v>
      </x:c>
      <x:c r="E63" s="9" t="str">
        <x:v>S004</x:v>
      </x:c>
    </x:row>
    <x:row r="64" ht="22" customHeight="1">
      <x:c r="A64" s="5" t="str">
        <x:v>central</x:v>
      </x:c>
      <x:c r="B64" s="5" t="str">
        <x:v>uniform</x:v>
      </x:c>
      <x:c r="C64" s="10" t="n">
        <x:v>27</x:v>
      </x:c>
      <x:c r="D64" s="5" t="n">
        <x:v>0.07968382053171329</x:v>
      </x:c>
      <x:c r="E64" s="5" t="str">
        <x:v>S004</x:v>
      </x:c>
    </x:row>
    <x:row r="65" ht="22" customHeight="1">
      <x:c r="A65" s="9" t="str">
        <x:v>central</x:v>
      </x:c>
      <x:c r="B65" s="9" t="str">
        <x:v>uniform</x:v>
      </x:c>
      <x:c r="C65" s="11" t="n">
        <x:v>28</x:v>
      </x:c>
      <x:c r="D65" s="9" t="n">
        <x:v>0.07933014903735898</x:v>
      </x:c>
      <x:c r="E65" s="9" t="str">
        <x:v>S004</x:v>
      </x:c>
    </x:row>
    <x:row r="66" ht="22" customHeight="1">
      <x:c r="A66" s="5" t="str">
        <x:v>central</x:v>
      </x:c>
      <x:c r="B66" s="5" t="str">
        <x:v>uniform</x:v>
      </x:c>
      <x:c r="C66" s="10" t="n">
        <x:v>29</x:v>
      </x:c>
      <x:c r="D66" s="5" t="n">
        <x:v>0.07869662162203128</x:v>
      </x:c>
      <x:c r="E66" s="5" t="str">
        <x:v>S004</x:v>
      </x:c>
    </x:row>
    <x:row r="67" ht="22" customHeight="1">
      <x:c r="A67" s="9" t="str">
        <x:v>central</x:v>
      </x:c>
      <x:c r="B67" s="9" t="str">
        <x:v>uniform</x:v>
      </x:c>
      <x:c r="C67" s="11" t="n">
        <x:v>30</x:v>
      </x:c>
      <x:c r="D67" s="9" t="n">
        <x:v>0.07806309420670358</x:v>
      </x:c>
      <x:c r="E67" s="9" t="str">
        <x:v>S004</x:v>
      </x:c>
    </x:row>
    <x:row r="68" ht="22" customHeight="1">
      <x:c r="A68" s="5" t="str">
        <x:v>central</x:v>
      </x:c>
      <x:c r="B68" s="5" t="str">
        <x:v>uniform</x:v>
      </x:c>
      <x:c r="C68" s="10" t="n">
        <x:v>31</x:v>
      </x:c>
      <x:c r="D68" s="5" t="n">
        <x:v>0.0777832382857302</x:v>
      </x:c>
      <x:c r="E68" s="5" t="str">
        <x:v>S004</x:v>
      </x:c>
    </x:row>
    <x:row r="69" ht="22" customHeight="1">
      <x:c r="A69" s="9" t="str">
        <x:v>central</x:v>
      </x:c>
      <x:c r="B69" s="9" t="str">
        <x:v>uniform</x:v>
      </x:c>
      <x:c r="C69" s="11" t="n">
        <x:v>32</x:v>
      </x:c>
      <x:c r="D69" s="9" t="n">
        <x:v>0.0775033823647568</x:v>
      </x:c>
      <x:c r="E69" s="9" t="str">
        <x:v>S004</x:v>
      </x:c>
    </x:row>
    <x:row r="70" ht="22" customHeight="1">
      <x:c r="A70" s="5" t="str">
        <x:v>central</x:v>
      </x:c>
      <x:c r="B70" s="5" t="str">
        <x:v>midpoint</x:v>
      </x:c>
      <x:c r="C70" s="10" t="n">
        <x:v>1</x:v>
      </x:c>
      <x:c r="D70" s="5" t="n">
        <x:v>0.11608744700197686</x:v>
      </x:c>
      <x:c r="E70" s="5" t="str">
        <x:v>S004</x:v>
      </x:c>
    </x:row>
    <x:row r="71" ht="22" customHeight="1">
      <x:c r="A71" s="9" t="str">
        <x:v>central</x:v>
      </x:c>
      <x:c r="B71" s="9" t="str">
        <x:v>midpoint</x:v>
      </x:c>
      <x:c r="C71" s="11" t="n">
        <x:v>2</x:v>
      </x:c>
      <x:c r="D71" s="9" t="n">
        <x:v>0.11608744700197686</x:v>
      </x:c>
      <x:c r="E71" s="9" t="str">
        <x:v>S004</x:v>
      </x:c>
    </x:row>
    <x:row r="72" ht="22" customHeight="1">
      <x:c r="A72" s="5" t="str">
        <x:v>central</x:v>
      </x:c>
      <x:c r="B72" s="5" t="str">
        <x:v>midpoint</x:v>
      </x:c>
      <x:c r="C72" s="10" t="n">
        <x:v>3</x:v>
      </x:c>
      <x:c r="D72" s="5" t="n">
        <x:v>0.11608744700197686</x:v>
      </x:c>
      <x:c r="E72" s="5" t="str">
        <x:v>S004</x:v>
      </x:c>
    </x:row>
    <x:row r="73" ht="22" customHeight="1">
      <x:c r="A73" s="9" t="str">
        <x:v>central</x:v>
      </x:c>
      <x:c r="B73" s="9" t="str">
        <x:v>midpoint</x:v>
      </x:c>
      <x:c r="C73" s="11" t="n">
        <x:v>4</x:v>
      </x:c>
      <x:c r="D73" s="9" t="n">
        <x:v>0.11608744700197686</x:v>
      </x:c>
      <x:c r="E73" s="9" t="str">
        <x:v>S004</x:v>
      </x:c>
    </x:row>
    <x:row r="74" ht="22" customHeight="1">
      <x:c r="A74" s="5" t="str">
        <x:v>central</x:v>
      </x:c>
      <x:c r="B74" s="5" t="str">
        <x:v>midpoint</x:v>
      </x:c>
      <x:c r="C74" s="10" t="n">
        <x:v>5</x:v>
      </x:c>
      <x:c r="D74" s="5" t="n">
        <x:v>0.11608744700197686</x:v>
      </x:c>
      <x:c r="E74" s="5" t="str">
        <x:v>S004</x:v>
      </x:c>
    </x:row>
    <x:row r="75" ht="22" customHeight="1">
      <x:c r="A75" s="9" t="str">
        <x:v>central</x:v>
      </x:c>
      <x:c r="B75" s="9" t="str">
        <x:v>midpoint</x:v>
      </x:c>
      <x:c r="C75" s="11" t="n">
        <x:v>6</x:v>
      </x:c>
      <x:c r="D75" s="9" t="n">
        <x:v>0.11608744700197686</x:v>
      </x:c>
      <x:c r="E75" s="9" t="str">
        <x:v>S004</x:v>
      </x:c>
    </x:row>
    <x:row r="76" ht="22" customHeight="1">
      <x:c r="A76" s="5" t="str">
        <x:v>central</x:v>
      </x:c>
      <x:c r="B76" s="5" t="str">
        <x:v>midpoint</x:v>
      </x:c>
      <x:c r="C76" s="10" t="n">
        <x:v>7</x:v>
      </x:c>
      <x:c r="D76" s="5" t="n">
        <x:v>0.11608744700197686</x:v>
      </x:c>
      <x:c r="E76" s="5" t="str">
        <x:v>S004</x:v>
      </x:c>
    </x:row>
    <x:row r="77" ht="22" customHeight="1">
      <x:c r="A77" s="9" t="str">
        <x:v>central</x:v>
      </x:c>
      <x:c r="B77" s="9" t="str">
        <x:v>midpoint</x:v>
      </x:c>
      <x:c r="C77" s="11" t="n">
        <x:v>8</x:v>
      </x:c>
      <x:c r="D77" s="9" t="n">
        <x:v>0.11608744700197686</x:v>
      </x:c>
      <x:c r="E77" s="9" t="str">
        <x:v>S004</x:v>
      </x:c>
    </x:row>
    <x:row r="78" ht="22" customHeight="1">
      <x:c r="A78" s="5" t="str">
        <x:v>central</x:v>
      </x:c>
      <x:c r="B78" s="5" t="str">
        <x:v>midpoint</x:v>
      </x:c>
      <x:c r="C78" s="10" t="n">
        <x:v>9</x:v>
      </x:c>
      <x:c r="D78" s="5" t="n">
        <x:v>0.11608744700197686</x:v>
      </x:c>
      <x:c r="E78" s="5" t="str">
        <x:v>S004</x:v>
      </x:c>
    </x:row>
    <x:row r="79" ht="22" customHeight="1">
      <x:c r="A79" s="9" t="str">
        <x:v>central</x:v>
      </x:c>
      <x:c r="B79" s="9" t="str">
        <x:v>midpoint</x:v>
      </x:c>
      <x:c r="C79" s="11" t="n">
        <x:v>10</x:v>
      </x:c>
      <x:c r="D79" s="9" t="n">
        <x:v>0.11608744700197686</x:v>
      </x:c>
      <x:c r="E79" s="9" t="str">
        <x:v>S004</x:v>
      </x:c>
    </x:row>
    <x:row r="80" ht="22" customHeight="1">
      <x:c r="A80" s="5" t="str">
        <x:v>central</x:v>
      </x:c>
      <x:c r="B80" s="5" t="str">
        <x:v>midpoint</x:v>
      </x:c>
      <x:c r="C80" s="10" t="n">
        <x:v>11</x:v>
      </x:c>
      <x:c r="D80" s="5" t="n">
        <x:v>0.11608744700197686</x:v>
      </x:c>
      <x:c r="E80" s="5" t="str">
        <x:v>S004</x:v>
      </x:c>
    </x:row>
    <x:row r="81" ht="22" customHeight="1">
      <x:c r="A81" s="9" t="str">
        <x:v>central</x:v>
      </x:c>
      <x:c r="B81" s="9" t="str">
        <x:v>midpoint</x:v>
      </x:c>
      <x:c r="C81" s="11" t="n">
        <x:v>12</x:v>
      </x:c>
      <x:c r="D81" s="9" t="n">
        <x:v>0.11608744700197686</x:v>
      </x:c>
      <x:c r="E81" s="9" t="str">
        <x:v>S004</x:v>
      </x:c>
    </x:row>
    <x:row r="82" ht="22" customHeight="1">
      <x:c r="A82" s="5" t="str">
        <x:v>central</x:v>
      </x:c>
      <x:c r="B82" s="5" t="str">
        <x:v>midpoint</x:v>
      </x:c>
      <x:c r="C82" s="10" t="n">
        <x:v>13</x:v>
      </x:c>
      <x:c r="D82" s="5" t="n">
        <x:v>0.11608744700197686</x:v>
      </x:c>
      <x:c r="E82" s="5" t="str">
        <x:v>S004</x:v>
      </x:c>
    </x:row>
    <x:row r="83" ht="22" customHeight="1">
      <x:c r="A83" s="9" t="str">
        <x:v>central</x:v>
      </x:c>
      <x:c r="B83" s="9" t="str">
        <x:v>midpoint</x:v>
      </x:c>
      <x:c r="C83" s="11" t="n">
        <x:v>14</x:v>
      </x:c>
      <x:c r="D83" s="9" t="n">
        <x:v>0.11608744700197686</x:v>
      </x:c>
      <x:c r="E83" s="9" t="str">
        <x:v>S004</x:v>
      </x:c>
    </x:row>
    <x:row r="84" ht="22" customHeight="1">
      <x:c r="A84" s="5" t="str">
        <x:v>central</x:v>
      </x:c>
      <x:c r="B84" s="5" t="str">
        <x:v>midpoint</x:v>
      </x:c>
      <x:c r="C84" s="10" t="n">
        <x:v>15</x:v>
      </x:c>
      <x:c r="D84" s="5" t="n">
        <x:v>0.11608744700197686</x:v>
      </x:c>
      <x:c r="E84" s="5" t="str">
        <x:v>S004</x:v>
      </x:c>
    </x:row>
    <x:row r="85" ht="22" customHeight="1">
      <x:c r="A85" s="9" t="str">
        <x:v>central</x:v>
      </x:c>
      <x:c r="B85" s="9" t="str">
        <x:v>midpoint</x:v>
      </x:c>
      <x:c r="C85" s="11" t="n">
        <x:v>16</x:v>
      </x:c>
      <x:c r="D85" s="9" t="n">
        <x:v>0.11608744700197686</x:v>
      </x:c>
      <x:c r="E85" s="9" t="str">
        <x:v>S004</x:v>
      </x:c>
    </x:row>
    <x:row r="86" ht="22" customHeight="1">
      <x:c r="A86" s="5" t="str">
        <x:v>central</x:v>
      </x:c>
      <x:c r="B86" s="5" t="str">
        <x:v>midpoint</x:v>
      </x:c>
      <x:c r="C86" s="10" t="n">
        <x:v>17</x:v>
      </x:c>
      <x:c r="D86" s="5" t="n">
        <x:v>0.11608744700197686</x:v>
      </x:c>
      <x:c r="E86" s="5" t="str">
        <x:v>S004</x:v>
      </x:c>
    </x:row>
    <x:row r="87" ht="22" customHeight="1">
      <x:c r="A87" s="9" t="str">
        <x:v>central</x:v>
      </x:c>
      <x:c r="B87" s="9" t="str">
        <x:v>midpoint</x:v>
      </x:c>
      <x:c r="C87" s="11" t="n">
        <x:v>18</x:v>
      </x:c>
      <x:c r="D87" s="9" t="n">
        <x:v>0.11608744700197686</x:v>
      </x:c>
      <x:c r="E87" s="9" t="str">
        <x:v>S004</x:v>
      </x:c>
    </x:row>
    <x:row r="88" ht="22" customHeight="1">
      <x:c r="A88" s="5" t="str">
        <x:v>central</x:v>
      </x:c>
      <x:c r="B88" s="5" t="str">
        <x:v>midpoint</x:v>
      </x:c>
      <x:c r="C88" s="10" t="n">
        <x:v>19</x:v>
      </x:c>
      <x:c r="D88" s="5" t="n">
        <x:v>0.11608744700197686</x:v>
      </x:c>
      <x:c r="E88" s="5" t="str">
        <x:v>S004</x:v>
      </x:c>
    </x:row>
    <x:row r="89" ht="22" customHeight="1">
      <x:c r="A89" s="9" t="str">
        <x:v>central</x:v>
      </x:c>
      <x:c r="B89" s="9" t="str">
        <x:v>midpoint</x:v>
      </x:c>
      <x:c r="C89" s="11" t="n">
        <x:v>20</x:v>
      </x:c>
      <x:c r="D89" s="9" t="n">
        <x:v>0.11608744700197686</x:v>
      </x:c>
      <x:c r="E89" s="9" t="str">
        <x:v>S004</x:v>
      </x:c>
    </x:row>
    <x:row r="90" ht="22" customHeight="1">
      <x:c r="A90" s="5" t="str">
        <x:v>central</x:v>
      </x:c>
      <x:c r="B90" s="5" t="str">
        <x:v>midpoint</x:v>
      </x:c>
      <x:c r="C90" s="10" t="n">
        <x:v>21</x:v>
      </x:c>
      <x:c r="D90" s="5" t="n">
        <x:v>0.11608744700197686</x:v>
      </x:c>
      <x:c r="E90" s="5" t="str">
        <x:v>S004</x:v>
      </x:c>
    </x:row>
    <x:row r="91" ht="22" customHeight="1">
      <x:c r="A91" s="9" t="str">
        <x:v>central</x:v>
      </x:c>
      <x:c r="B91" s="9" t="str">
        <x:v>midpoint</x:v>
      </x:c>
      <x:c r="C91" s="11" t="n">
        <x:v>22</x:v>
      </x:c>
      <x:c r="D91" s="9" t="n">
        <x:v>0.11608744700197686</x:v>
      </x:c>
      <x:c r="E91" s="9" t="str">
        <x:v>S004</x:v>
      </x:c>
    </x:row>
    <x:row r="92" ht="22" customHeight="1">
      <x:c r="A92" s="5" t="str">
        <x:v>central</x:v>
      </x:c>
      <x:c r="B92" s="5" t="str">
        <x:v>midpoint</x:v>
      </x:c>
      <x:c r="C92" s="10" t="n">
        <x:v>23</x:v>
      </x:c>
      <x:c r="D92" s="5" t="n">
        <x:v>0.11608744700197686</x:v>
      </x:c>
      <x:c r="E92" s="5" t="str">
        <x:v>S004</x:v>
      </x:c>
    </x:row>
    <x:row r="93" ht="22" customHeight="1">
      <x:c r="A93" s="9" t="str">
        <x:v>central</x:v>
      </x:c>
      <x:c r="B93" s="9" t="str">
        <x:v>midpoint</x:v>
      </x:c>
      <x:c r="C93" s="11" t="n">
        <x:v>24</x:v>
      </x:c>
      <x:c r="D93" s="9" t="n">
        <x:v>0.11608744700197686</x:v>
      </x:c>
      <x:c r="E93" s="9" t="str">
        <x:v>S004</x:v>
      </x:c>
    </x:row>
    <x:row r="94" ht="22" customHeight="1">
      <x:c r="A94" s="5" t="str">
        <x:v>central</x:v>
      </x:c>
      <x:c r="B94" s="5" t="str">
        <x:v>midpoint</x:v>
      </x:c>
      <x:c r="C94" s="10" t="n">
        <x:v>25</x:v>
      </x:c>
      <x:c r="D94" s="5" t="n">
        <x:v>0.11608744700197686</x:v>
      </x:c>
      <x:c r="E94" s="5" t="str">
        <x:v>S004</x:v>
      </x:c>
    </x:row>
    <x:row r="95" ht="22" customHeight="1">
      <x:c r="A95" s="9" t="str">
        <x:v>central</x:v>
      </x:c>
      <x:c r="B95" s="9" t="str">
        <x:v>midpoint</x:v>
      </x:c>
      <x:c r="C95" s="11" t="n">
        <x:v>26</x:v>
      </x:c>
      <x:c r="D95" s="9" t="n">
        <x:v>0.11608744700197686</x:v>
      </x:c>
      <x:c r="E95" s="9" t="str">
        <x:v>S004</x:v>
      </x:c>
    </x:row>
    <x:row r="96" ht="22" customHeight="1">
      <x:c r="A96" s="5" t="str">
        <x:v>central</x:v>
      </x:c>
      <x:c r="B96" s="5" t="str">
        <x:v>midpoint</x:v>
      </x:c>
      <x:c r="C96" s="10" t="n">
        <x:v>27</x:v>
      </x:c>
      <x:c r="D96" s="5" t="n">
        <x:v>0.11608744700197686</x:v>
      </x:c>
      <x:c r="E96" s="5" t="str">
        <x:v>S004</x:v>
      </x:c>
    </x:row>
    <x:row r="97" ht="22" customHeight="1">
      <x:c r="A97" s="9" t="str">
        <x:v>central</x:v>
      </x:c>
      <x:c r="B97" s="9" t="str">
        <x:v>midpoint</x:v>
      </x:c>
      <x:c r="C97" s="11" t="n">
        <x:v>28</x:v>
      </x:c>
      <x:c r="D97" s="9" t="n">
        <x:v>0.11608744700197686</x:v>
      </x:c>
      <x:c r="E97" s="9" t="str">
        <x:v>S004</x:v>
      </x:c>
    </x:row>
    <x:row r="98" ht="22" customHeight="1">
      <x:c r="A98" s="5" t="str">
        <x:v>central</x:v>
      </x:c>
      <x:c r="B98" s="5" t="str">
        <x:v>midpoint</x:v>
      </x:c>
      <x:c r="C98" s="10" t="n">
        <x:v>29</x:v>
      </x:c>
      <x:c r="D98" s="5" t="n">
        <x:v>0.11608744700197686</x:v>
      </x:c>
      <x:c r="E98" s="5" t="str">
        <x:v>S004</x:v>
      </x:c>
    </x:row>
    <x:row r="99" ht="22" customHeight="1">
      <x:c r="A99" s="9" t="str">
        <x:v>central</x:v>
      </x:c>
      <x:c r="B99" s="9" t="str">
        <x:v>midpoint</x:v>
      </x:c>
      <x:c r="C99" s="11" t="n">
        <x:v>30</x:v>
      </x:c>
      <x:c r="D99" s="9" t="n">
        <x:v>0.11608744700197686</x:v>
      </x:c>
      <x:c r="E99" s="9" t="str">
        <x:v>S004</x:v>
      </x:c>
    </x:row>
    <x:row r="100" ht="22" customHeight="1">
      <x:c r="A100" s="5" t="str">
        <x:v>central</x:v>
      </x:c>
      <x:c r="B100" s="5" t="str">
        <x:v>midpoint</x:v>
      </x:c>
      <x:c r="C100" s="10" t="n">
        <x:v>31</x:v>
      </x:c>
      <x:c r="D100" s="5" t="n">
        <x:v>0.11608744700197686</x:v>
      </x:c>
      <x:c r="E100" s="5" t="str">
        <x:v>S004</x:v>
      </x:c>
    </x:row>
    <x:row r="101" ht="22" customHeight="1">
      <x:c r="A101" s="9" t="str">
        <x:v>central</x:v>
      </x:c>
      <x:c r="B101" s="9" t="str">
        <x:v>midpoint</x:v>
      </x:c>
      <x:c r="C101" s="11" t="n">
        <x:v>32</x:v>
      </x:c>
      <x:c r="D101" s="9" t="n">
        <x:v>0.11608744700197686</x:v>
      </x:c>
      <x:c r="E101" s="9" t="str">
        <x:v>S004</x:v>
      </x:c>
    </x:row>
    <x:row r="102" ht="22" customHeight="1">
      <x:c r="A102" s="5" t="str">
        <x:v>central</x:v>
      </x:c>
      <x:c r="B102" s="5" t="str">
        <x:v>representative41</x:v>
      </x:c>
      <x:c r="C102" s="10" t="n">
        <x:v>1</x:v>
      </x:c>
      <x:c r="D102" s="5" t="n">
        <x:v>0.3859789198153826</x:v>
      </x:c>
      <x:c r="E102" s="5" t="str">
        <x:v>S004</x:v>
      </x:c>
    </x:row>
    <x:row r="103" ht="22" customHeight="1">
      <x:c r="A103" s="9" t="str">
        <x:v>central</x:v>
      </x:c>
      <x:c r="B103" s="9" t="str">
        <x:v>representative41</x:v>
      </x:c>
      <x:c r="C103" s="11" t="n">
        <x:v>2</x:v>
      </x:c>
      <x:c r="D103" s="9" t="n">
        <x:v>0.24998570551980995</x:v>
      </x:c>
      <x:c r="E103" s="9" t="str">
        <x:v>S004</x:v>
      </x:c>
    </x:row>
    <x:row r="104" ht="22" customHeight="1">
      <x:c r="A104" s="5" t="str">
        <x:v>central</x:v>
      </x:c>
      <x:c r="B104" s="5" t="str">
        <x:v>representative41</x:v>
      </x:c>
      <x:c r="C104" s="10" t="n">
        <x:v>3</x:v>
      </x:c>
      <x:c r="D104" s="5" t="n">
        <x:v>0.2178454306782642</x:v>
      </x:c>
      <x:c r="E104" s="5" t="str">
        <x:v>S004</x:v>
      </x:c>
    </x:row>
    <x:row r="105" ht="22" customHeight="1">
      <x:c r="A105" s="9" t="str">
        <x:v>central</x:v>
      </x:c>
      <x:c r="B105" s="9" t="str">
        <x:v>representative41</x:v>
      </x:c>
      <x:c r="C105" s="11" t="n">
        <x:v>4</x:v>
      </x:c>
      <x:c r="D105" s="9" t="n">
        <x:v>0.18208298260847516</x:v>
      </x:c>
      <x:c r="E105" s="9" t="str">
        <x:v>S004</x:v>
      </x:c>
    </x:row>
    <x:row r="106" ht="22" customHeight="1">
      <x:c r="A106" s="5" t="str">
        <x:v>central</x:v>
      </x:c>
      <x:c r="B106" s="5" t="str">
        <x:v>representative41</x:v>
      </x:c>
      <x:c r="C106" s="10" t="n">
        <x:v>5</x:v>
      </x:c>
      <x:c r="D106" s="5" t="n">
        <x:v>0.17555959468756216</x:v>
      </x:c>
      <x:c r="E106" s="5" t="str">
        <x:v>S004</x:v>
      </x:c>
    </x:row>
    <x:row r="107" ht="22" customHeight="1">
      <x:c r="A107" s="9" t="str">
        <x:v>central</x:v>
      </x:c>
      <x:c r="B107" s="9" t="str">
        <x:v>representative41</x:v>
      </x:c>
      <x:c r="C107" s="11" t="n">
        <x:v>6</x:v>
      </x:c>
      <x:c r="D107" s="9" t="n">
        <x:v>0.16403200911477467</x:v>
      </x:c>
      <x:c r="E107" s="9" t="str">
        <x:v>S004</x:v>
      </x:c>
    </x:row>
    <x:row r="108" ht="22" customHeight="1">
      <x:c r="A108" s="5" t="str">
        <x:v>central</x:v>
      </x:c>
      <x:c r="B108" s="5" t="str">
        <x:v>representative41</x:v>
      </x:c>
      <x:c r="C108" s="10" t="n">
        <x:v>7</x:v>
      </x:c>
      <x:c r="D108" s="5" t="n">
        <x:v>0.1440475103114018</x:v>
      </x:c>
      <x:c r="E108" s="5" t="str">
        <x:v>S004</x:v>
      </x:c>
    </x:row>
    <x:row r="109" ht="22" customHeight="1">
      <x:c r="A109" s="9" t="str">
        <x:v>central</x:v>
      </x:c>
      <x:c r="B109" s="9" t="str">
        <x:v>representative41</x:v>
      </x:c>
      <x:c r="C109" s="11" t="n">
        <x:v>8</x:v>
      </x:c>
      <x:c r="D109" s="9" t="n">
        <x:v>0.1337380543671349</x:v>
      </x:c>
      <x:c r="E109" s="9" t="str">
        <x:v>S004</x:v>
      </x:c>
    </x:row>
    <x:row r="110" ht="22" customHeight="1">
      <x:c r="A110" s="5" t="str">
        <x:v>central</x:v>
      </x:c>
      <x:c r="B110" s="5" t="str">
        <x:v>representative41</x:v>
      </x:c>
      <x:c r="C110" s="10" t="n">
        <x:v>9</x:v>
      </x:c>
      <x:c r="D110" s="5" t="n">
        <x:v>0.11869510991514029</x:v>
      </x:c>
      <x:c r="E110" s="5" t="str">
        <x:v>S004</x:v>
      </x:c>
    </x:row>
    <x:row r="111" ht="22" customHeight="1">
      <x:c r="A111" s="9" t="str">
        <x:v>central</x:v>
      </x:c>
      <x:c r="B111" s="9" t="str">
        <x:v>representative41</x:v>
      </x:c>
      <x:c r="C111" s="11" t="n">
        <x:v>10</x:v>
      </x:c>
      <x:c r="D111" s="9" t="n">
        <x:v>0.09636619528987007</x:v>
      </x:c>
      <x:c r="E111" s="9" t="str">
        <x:v>S004</x:v>
      </x:c>
    </x:row>
    <x:row r="112" ht="22" customHeight="1">
      <x:c r="A112" s="5" t="str">
        <x:v>central</x:v>
      </x:c>
      <x:c r="B112" s="5" t="str">
        <x:v>representative41</x:v>
      </x:c>
      <x:c r="C112" s="10" t="n">
        <x:v>11</x:v>
      </x:c>
      <x:c r="D112" s="5" t="n">
        <x:v>0.07059453389299153</x:v>
      </x:c>
      <x:c r="E112" s="5" t="str">
        <x:v>S004</x:v>
      </x:c>
    </x:row>
    <x:row r="113" ht="22" customHeight="1">
      <x:c r="A113" s="9" t="str">
        <x:v>central</x:v>
      </x:c>
      <x:c r="B113" s="9" t="str">
        <x:v>representative41</x:v>
      </x:c>
      <x:c r="C113" s="11" t="n">
        <x:v>12</x:v>
      </x:c>
      <x:c r="D113" s="9" t="n">
        <x:v>0.06903917627157082</x:v>
      </x:c>
      <x:c r="E113" s="9" t="str">
        <x:v>S004</x:v>
      </x:c>
    </x:row>
    <x:row r="114" ht="22" customHeight="1">
      <x:c r="A114" s="5" t="str">
        <x:v>central</x:v>
      </x:c>
      <x:c r="B114" s="5" t="str">
        <x:v>representative41</x:v>
      </x:c>
      <x:c r="C114" s="10" t="n">
        <x:v>13</x:v>
      </x:c>
      <x:c r="D114" s="5" t="n">
        <x:v>0.0658267471213809</x:v>
      </x:c>
      <x:c r="E114" s="5" t="str">
        <x:v>S004</x:v>
      </x:c>
    </x:row>
    <x:row r="115" ht="22" customHeight="1">
      <x:c r="A115" s="9" t="str">
        <x:v>central</x:v>
      </x:c>
      <x:c r="B115" s="9" t="str">
        <x:v>representative41</x:v>
      </x:c>
      <x:c r="C115" s="11" t="n">
        <x:v>14</x:v>
      </x:c>
      <x:c r="D115" s="9" t="n">
        <x:v>0.06367629660502194</x:v>
      </x:c>
      <x:c r="E115" s="9" t="str">
        <x:v>S004</x:v>
      </x:c>
    </x:row>
    <x:row r="116" ht="22" customHeight="1">
      <x:c r="A116" s="5" t="str">
        <x:v>central</x:v>
      </x:c>
      <x:c r="B116" s="5" t="str">
        <x:v>representative41</x:v>
      </x:c>
      <x:c r="C116" s="10" t="n">
        <x:v>15</x:v>
      </x:c>
      <x:c r="D116" s="5" t="n">
        <x:v>0.0634786363280466</x:v>
      </x:c>
      <x:c r="E116" s="5" t="str">
        <x:v>S004</x:v>
      </x:c>
    </x:row>
    <x:row r="117" ht="22" customHeight="1">
      <x:c r="A117" s="9" t="str">
        <x:v>central</x:v>
      </x:c>
      <x:c r="B117" s="9" t="str">
        <x:v>representative41</x:v>
      </x:c>
      <x:c r="C117" s="11" t="n">
        <x:v>16</x:v>
      </x:c>
      <x:c r="D117" s="9" t="n">
        <x:v>0.06179812158103364</x:v>
      </x:c>
      <x:c r="E117" s="9" t="str">
        <x:v>S004</x:v>
      </x:c>
    </x:row>
    <x:row r="118" ht="22" customHeight="1">
      <x:c r="A118" s="5" t="str">
        <x:v>central</x:v>
      </x:c>
      <x:c r="B118" s="5" t="str">
        <x:v>representative41</x:v>
      </x:c>
      <x:c r="C118" s="10" t="n">
        <x:v>17</x:v>
      </x:c>
      <x:c r="D118" s="5" t="n">
        <x:v>0.05601294936724669</x:v>
      </x:c>
      <x:c r="E118" s="5" t="str">
        <x:v>S004</x:v>
      </x:c>
    </x:row>
    <x:row r="119" ht="22" customHeight="1">
      <x:c r="A119" s="9" t="str">
        <x:v>central</x:v>
      </x:c>
      <x:c r="B119" s="9" t="str">
        <x:v>representative41</x:v>
      </x:c>
      <x:c r="C119" s="11" t="n">
        <x:v>18</x:v>
      </x:c>
      <x:c r="D119" s="9" t="n">
        <x:v>0.028309180219082145</x:v>
      </x:c>
      <x:c r="E119" s="9" t="str">
        <x:v>S004</x:v>
      </x:c>
    </x:row>
    <x:row r="120" ht="22" customHeight="1">
      <x:c r="A120" s="5" t="str">
        <x:v>central</x:v>
      </x:c>
      <x:c r="B120" s="5" t="str">
        <x:v>representative41</x:v>
      </x:c>
      <x:c r="C120" s="10" t="n">
        <x:v>19</x:v>
      </x:c>
      <x:c r="D120" s="5" t="n">
        <x:v>0.022417525767071185</x:v>
      </x:c>
      <x:c r="E120" s="5" t="str">
        <x:v>S004</x:v>
      </x:c>
    </x:row>
    <x:row r="121" ht="22" customHeight="1">
      <x:c r="A121" s="9" t="str">
        <x:v>central</x:v>
      </x:c>
      <x:c r="B121" s="9" t="str">
        <x:v>representative41</x:v>
      </x:c>
      <x:c r="C121" s="11" t="n">
        <x:v>20</x:v>
      </x:c>
      <x:c r="D121" s="9" t="n">
        <x:v>0.013877373207480559</x:v>
      </x:c>
      <x:c r="E121" s="9" t="str">
        <x:v>S004</x:v>
      </x:c>
    </x:row>
    <x:row r="122" ht="22" customHeight="1">
      <x:c r="A122" s="5" t="str">
        <x:v>central</x:v>
      </x:c>
      <x:c r="B122" s="5" t="str">
        <x:v>representative41</x:v>
      </x:c>
      <x:c r="C122" s="10" t="n">
        <x:v>21</x:v>
      </x:c>
      <x:c r="D122" s="5" t="n">
        <x:v>0.0119651986801611</x:v>
      </x:c>
      <x:c r="E122" s="5" t="str">
        <x:v>S004</x:v>
      </x:c>
    </x:row>
    <x:row r="123" ht="22" customHeight="1">
      <x:c r="A123" s="9" t="str">
        <x:v>central</x:v>
      </x:c>
      <x:c r="B123" s="9" t="str">
        <x:v>representative41</x:v>
      </x:c>
      <x:c r="C123" s="11" t="n">
        <x:v>22</x:v>
      </x:c>
      <x:c r="D123" s="9" t="n">
        <x:v>0.011446611093842643</x:v>
      </x:c>
      <x:c r="E123" s="9" t="str">
        <x:v>S004</x:v>
      </x:c>
    </x:row>
    <x:row r="124" ht="22" customHeight="1">
      <x:c r="A124" s="5" t="str">
        <x:v>central</x:v>
      </x:c>
      <x:c r="B124" s="5" t="str">
        <x:v>representative41</x:v>
      </x:c>
      <x:c r="C124" s="10" t="n">
        <x:v>23</x:v>
      </x:c>
      <x:c r="D124" s="5" t="n">
        <x:v>0.01123850015373384</x:v>
      </x:c>
      <x:c r="E124" s="5" t="str">
        <x:v>S004</x:v>
      </x:c>
    </x:row>
    <x:row r="125" ht="22" customHeight="1">
      <x:c r="A125" s="9" t="str">
        <x:v>central</x:v>
      </x:c>
      <x:c r="B125" s="9" t="str">
        <x:v>representative41</x:v>
      </x:c>
      <x:c r="C125" s="11" t="n">
        <x:v>24</x:v>
      </x:c>
      <x:c r="D125" s="9" t="n">
        <x:v>0.010202929150571739</x:v>
      </x:c>
      <x:c r="E125" s="9" t="str">
        <x:v>S004</x:v>
      </x:c>
    </x:row>
    <x:row r="126" ht="22" customHeight="1">
      <x:c r="A126" s="5" t="str">
        <x:v>central</x:v>
      </x:c>
      <x:c r="B126" s="5" t="str">
        <x:v>representative41</x:v>
      </x:c>
      <x:c r="C126" s="10" t="n">
        <x:v>25</x:v>
      </x:c>
      <x:c r="D126" s="5" t="n">
        <x:v>0.009431224661627009</x:v>
      </x:c>
      <x:c r="E126" s="5" t="str">
        <x:v>S004</x:v>
      </x:c>
    </x:row>
    <x:row r="127" ht="22" customHeight="1">
      <x:c r="A127" s="9" t="str">
        <x:v>central</x:v>
      </x:c>
      <x:c r="B127" s="9" t="str">
        <x:v>representative41</x:v>
      </x:c>
      <x:c r="C127" s="11" t="n">
        <x:v>26</x:v>
      </x:c>
      <x:c r="D127" s="9" t="n">
        <x:v>0.008904926047475809</x:v>
      </x:c>
      <x:c r="E127" s="9" t="str">
        <x:v>S004</x:v>
      </x:c>
    </x:row>
    <x:row r="128" ht="22" customHeight="1">
      <x:c r="A128" s="5" t="str">
        <x:v>central</x:v>
      </x:c>
      <x:c r="B128" s="5" t="str">
        <x:v>representative41</x:v>
      </x:c>
      <x:c r="C128" s="10" t="n">
        <x:v>27</x:v>
      </x:c>
      <x:c r="D128" s="5" t="n">
        <x:v>0.0076644920501435015</x:v>
      </x:c>
      <x:c r="E128" s="5" t="str">
        <x:v>S004</x:v>
      </x:c>
    </x:row>
    <x:row r="129" ht="22" customHeight="1">
      <x:c r="A129" s="9" t="str">
        <x:v>central</x:v>
      </x:c>
      <x:c r="B129" s="9" t="str">
        <x:v>representative41</x:v>
      </x:c>
      <x:c r="C129" s="11" t="n">
        <x:v>28</x:v>
      </x:c>
      <x:c r="D129" s="9" t="n">
        <x:v>0.006942997094385435</x:v>
      </x:c>
      <x:c r="E129" s="9" t="str">
        <x:v>S004</x:v>
      </x:c>
    </x:row>
    <x:row r="130" ht="22" customHeight="1">
      <x:c r="A130" s="5" t="str">
        <x:v>central</x:v>
      </x:c>
      <x:c r="B130" s="5" t="str">
        <x:v>representative41</x:v>
      </x:c>
      <x:c r="C130" s="10" t="n">
        <x:v>29</x:v>
      </x:c>
      <x:c r="D130" s="5" t="n">
        <x:v>0.006258135069044835</x:v>
      </x:c>
      <x:c r="E130" s="5" t="str">
        <x:v>S004</x:v>
      </x:c>
    </x:row>
    <x:row r="131" ht="22" customHeight="1">
      <x:c r="A131" s="9" t="str">
        <x:v>central</x:v>
      </x:c>
      <x:c r="B131" s="9" t="str">
        <x:v>representative41</x:v>
      </x:c>
      <x:c r="C131" s="11" t="n">
        <x:v>30</x:v>
      </x:c>
      <x:c r="D131" s="9" t="n">
        <x:v>0.0055029814484775655</x:v>
      </x:c>
      <x:c r="E131" s="9" t="str">
        <x:v>S004</x:v>
      </x:c>
    </x:row>
    <x:row r="132" ht="22" customHeight="1">
      <x:c r="A132" s="5" t="str">
        <x:v>central</x:v>
      </x:c>
      <x:c r="B132" s="5" t="str">
        <x:v>representative41</x:v>
      </x:c>
      <x:c r="C132" s="10" t="n">
        <x:v>31</x:v>
      </x:c>
      <x:c r="D132" s="5" t="n">
        <x:v>0.0055029814484775655</x:v>
      </x:c>
      <x:c r="E132" s="5" t="str">
        <x:v>S004</x:v>
      </x:c>
    </x:row>
    <x:row r="133" ht="22" customHeight="1">
      <x:c r="A133" s="9" t="str">
        <x:v>central</x:v>
      </x:c>
      <x:c r="B133" s="9" t="str">
        <x:v>representative41</x:v>
      </x:c>
      <x:c r="C133" s="11" t="n">
        <x:v>32</x:v>
      </x:c>
      <x:c r="D133" s="9" t="n">
        <x:v>0.005263427345801845</x:v>
      </x:c>
      <x:c r="E133" s="9" t="str">
        <x:v>S004</x:v>
      </x:c>
    </x:row>
    <x:row r="134" ht="22" customHeight="1">
      <x:c r="A134" s="5" t="str">
        <x:v>broad</x:v>
      </x:c>
      <x:c r="B134" s="5" t="str">
        <x:v>seed</x:v>
      </x:c>
      <x:c r="C134" s="10" t="n">
        <x:v>1</x:v>
      </x:c>
      <x:c r="D134" s="5" t="n">
        <x:v>0.9407154716702961</x:v>
      </x:c>
      <x:c r="E134" s="5" t="str">
        <x:v>S004</x:v>
      </x:c>
    </x:row>
    <x:row r="135" ht="22" customHeight="1">
      <x:c r="A135" s="9" t="str">
        <x:v>broad</x:v>
      </x:c>
      <x:c r="B135" s="9" t="str">
        <x:v>seed</x:v>
      </x:c>
      <x:c r="C135" s="11" t="n">
        <x:v>2</x:v>
      </x:c>
      <x:c r="D135" s="9" t="n">
        <x:v>0.8247038283007201</x:v>
      </x:c>
      <x:c r="E135" s="9" t="str">
        <x:v>S004</x:v>
      </x:c>
    </x:row>
    <x:row r="136" ht="22" customHeight="1">
      <x:c r="A136" s="5" t="str">
        <x:v>broad</x:v>
      </x:c>
      <x:c r="B136" s="5" t="str">
        <x:v>seed</x:v>
      </x:c>
      <x:c r="C136" s="10" t="n">
        <x:v>3</x:v>
      </x:c>
      <x:c r="D136" s="5" t="n">
        <x:v>0.5954276796407787</x:v>
      </x:c>
      <x:c r="E136" s="5" t="str">
        <x:v>S004</x:v>
      </x:c>
    </x:row>
    <x:row r="137" ht="22" customHeight="1">
      <x:c r="A137" s="9" t="str">
        <x:v>broad</x:v>
      </x:c>
      <x:c r="B137" s="9" t="str">
        <x:v>seed</x:v>
      </x:c>
      <x:c r="C137" s="11" t="n">
        <x:v>4</x:v>
      </x:c>
      <x:c r="D137" s="9" t="n">
        <x:v>0.44459544213951097</x:v>
      </x:c>
      <x:c r="E137" s="9" t="str">
        <x:v>S004</x:v>
      </x:c>
    </x:row>
    <x:row r="138" ht="22" customHeight="1">
      <x:c r="A138" s="5" t="str">
        <x:v>broad</x:v>
      </x:c>
      <x:c r="B138" s="5" t="str">
        <x:v>seed</x:v>
      </x:c>
      <x:c r="C138" s="10" t="n">
        <x:v>5</x:v>
      </x:c>
      <x:c r="D138" s="5" t="n">
        <x:v>0.4199353047930745</x:v>
      </x:c>
      <x:c r="E138" s="5" t="str">
        <x:v>S004</x:v>
      </x:c>
    </x:row>
    <x:row r="139" ht="22" customHeight="1">
      <x:c r="A139" s="9" t="str">
        <x:v>broad</x:v>
      </x:c>
      <x:c r="B139" s="9" t="str">
        <x:v>seed</x:v>
      </x:c>
      <x:c r="C139" s="11" t="n">
        <x:v>6</x:v>
      </x:c>
      <x:c r="D139" s="9" t="n">
        <x:v>0.3671374553745487</x:v>
      </x:c>
      <x:c r="E139" s="9" t="str">
        <x:v>S004</x:v>
      </x:c>
    </x:row>
    <x:row r="140" ht="22" customHeight="1">
      <x:c r="A140" s="5" t="str">
        <x:v>broad</x:v>
      </x:c>
      <x:c r="B140" s="5" t="str">
        <x:v>seed</x:v>
      </x:c>
      <x:c r="C140" s="10" t="n">
        <x:v>7</x:v>
      </x:c>
      <x:c r="D140" s="5" t="n">
        <x:v>0.25050286536681343</x:v>
      </x:c>
      <x:c r="E140" s="5" t="str">
        <x:v>S004</x:v>
      </x:c>
    </x:row>
    <x:row r="141" ht="22" customHeight="1">
      <x:c r="A141" s="9" t="str">
        <x:v>broad</x:v>
      </x:c>
      <x:c r="B141" s="9" t="str">
        <x:v>seed</x:v>
      </x:c>
      <x:c r="C141" s="11" t="n">
        <x:v>8</x:v>
      </x:c>
      <x:c r="D141" s="9" t="n">
        <x:v>0.18304362824261664</x:v>
      </x:c>
      <x:c r="E141" s="9" t="str">
        <x:v>S004</x:v>
      </x:c>
    </x:row>
    <x:row r="142" ht="22" customHeight="1">
      <x:c r="A142" s="5" t="str">
        <x:v>broad</x:v>
      </x:c>
      <x:c r="B142" s="5" t="str">
        <x:v>seed</x:v>
      </x:c>
      <x:c r="C142" s="10" t="n">
        <x:v>9</x:v>
      </x:c>
      <x:c r="D142" s="5" t="n">
        <x:v>0.16381478171137706</x:v>
      </x:c>
      <x:c r="E142" s="5" t="str">
        <x:v>S004</x:v>
      </x:c>
    </x:row>
    <x:row r="143" ht="22" customHeight="1">
      <x:c r="A143" s="9" t="str">
        <x:v>broad</x:v>
      </x:c>
      <x:c r="B143" s="9" t="str">
        <x:v>seed</x:v>
      </x:c>
      <x:c r="C143" s="11" t="n">
        <x:v>10</x:v>
      </x:c>
      <x:c r="D143" s="9" t="n">
        <x:v>0.15090420656762749</x:v>
      </x:c>
      <x:c r="E143" s="9" t="str">
        <x:v>S004</x:v>
      </x:c>
    </x:row>
    <x:row r="144" ht="22" customHeight="1">
      <x:c r="A144" s="5" t="str">
        <x:v>broad</x:v>
      </x:c>
      <x:c r="B144" s="5" t="str">
        <x:v>seed</x:v>
      </x:c>
      <x:c r="C144" s="10" t="n">
        <x:v>11</x:v>
      </x:c>
      <x:c r="D144" s="5" t="n">
        <x:v>0.13954804467401352</x:v>
      </x:c>
      <x:c r="E144" s="5" t="str">
        <x:v>S004</x:v>
      </x:c>
    </x:row>
    <x:row r="145" ht="22" customHeight="1">
      <x:c r="A145" s="9" t="str">
        <x:v>broad</x:v>
      </x:c>
      <x:c r="B145" s="9" t="str">
        <x:v>seed</x:v>
      </x:c>
      <x:c r="C145" s="11" t="n">
        <x:v>12</x:v>
      </x:c>
      <x:c r="D145" s="9" t="n">
        <x:v>0.11674331655927955</x:v>
      </x:c>
      <x:c r="E145" s="9" t="str">
        <x:v>S004</x:v>
      </x:c>
    </x:row>
    <x:row r="146" ht="22" customHeight="1">
      <x:c r="A146" s="5" t="str">
        <x:v>broad</x:v>
      </x:c>
      <x:c r="B146" s="5" t="str">
        <x:v>seed</x:v>
      </x:c>
      <x:c r="C146" s="10" t="n">
        <x:v>13</x:v>
      </x:c>
      <x:c r="D146" s="5" t="n">
        <x:v>0.08378101816754217</x:v>
      </x:c>
      <x:c r="E146" s="5" t="str">
        <x:v>S004</x:v>
      </x:c>
    </x:row>
    <x:row r="147" ht="22" customHeight="1">
      <x:c r="A147" s="9" t="str">
        <x:v>broad</x:v>
      </x:c>
      <x:c r="B147" s="9" t="str">
        <x:v>seed</x:v>
      </x:c>
      <x:c r="C147" s="11" t="n">
        <x:v>14</x:v>
      </x:c>
      <x:c r="D147" s="9" t="n">
        <x:v>0.07483394148538768</x:v>
      </x:c>
      <x:c r="E147" s="9" t="str">
        <x:v>S004</x:v>
      </x:c>
    </x:row>
    <x:row r="148" ht="22" customHeight="1">
      <x:c r="A148" s="5" t="str">
        <x:v>broad</x:v>
      </x:c>
      <x:c r="B148" s="5" t="str">
        <x:v>seed</x:v>
      </x:c>
      <x:c r="C148" s="10" t="n">
        <x:v>15</x:v>
      </x:c>
      <x:c r="D148" s="5" t="n">
        <x:v>0.06159281760009131</x:v>
      </x:c>
      <x:c r="E148" s="5" t="str">
        <x:v>S004</x:v>
      </x:c>
    </x:row>
    <x:row r="149" ht="22" customHeight="1">
      <x:c r="A149" s="9" t="str">
        <x:v>broad</x:v>
      </x:c>
      <x:c r="B149" s="9" t="str">
        <x:v>seed</x:v>
      </x:c>
      <x:c r="C149" s="11" t="n">
        <x:v>16</x:v>
      </x:c>
      <x:c r="D149" s="9" t="n">
        <x:v>0.059256973717455204</x:v>
      </x:c>
      <x:c r="E149" s="9" t="str">
        <x:v>S004</x:v>
      </x:c>
    </x:row>
    <x:row r="150" ht="22" customHeight="1">
      <x:c r="A150" s="5" t="str">
        <x:v>broad</x:v>
      </x:c>
      <x:c r="B150" s="5" t="str">
        <x:v>seed</x:v>
      </x:c>
      <x:c r="C150" s="10" t="n">
        <x:v>17</x:v>
      </x:c>
      <x:c r="D150" s="5" t="n">
        <x:v>0.047424421999951775</x:v>
      </x:c>
      <x:c r="E150" s="5" t="str">
        <x:v>S004</x:v>
      </x:c>
    </x:row>
    <x:row r="151" ht="22" customHeight="1">
      <x:c r="A151" s="9" t="str">
        <x:v>broad</x:v>
      </x:c>
      <x:c r="B151" s="9" t="str">
        <x:v>seed</x:v>
      </x:c>
      <x:c r="C151" s="11" t="n">
        <x:v>18</x:v>
      </x:c>
      <x:c r="D151" s="9" t="n">
        <x:v>0.04312979929649062</x:v>
      </x:c>
      <x:c r="E151" s="9" t="str">
        <x:v>S004</x:v>
      </x:c>
    </x:row>
    <x:row r="152" ht="22" customHeight="1">
      <x:c r="A152" s="5" t="str">
        <x:v>broad</x:v>
      </x:c>
      <x:c r="B152" s="5" t="str">
        <x:v>seed</x:v>
      </x:c>
      <x:c r="C152" s="10" t="n">
        <x:v>19</x:v>
      </x:c>
      <x:c r="D152" s="5" t="n">
        <x:v>0.04312522750383515</x:v>
      </x:c>
      <x:c r="E152" s="5" t="str">
        <x:v>S004</x:v>
      </x:c>
    </x:row>
    <x:row r="153" ht="22" customHeight="1">
      <x:c r="A153" s="9" t="str">
        <x:v>broad</x:v>
      </x:c>
      <x:c r="B153" s="9" t="str">
        <x:v>seed</x:v>
      </x:c>
      <x:c r="C153" s="11" t="n">
        <x:v>20</x:v>
      </x:c>
      <x:c r="D153" s="9" t="n">
        <x:v>0.041339918793397934</x:v>
      </x:c>
      <x:c r="E153" s="9" t="str">
        <x:v>S004</x:v>
      </x:c>
    </x:row>
    <x:row r="154" ht="22" customHeight="1">
      <x:c r="A154" s="5" t="str">
        <x:v>broad</x:v>
      </x:c>
      <x:c r="B154" s="5" t="str">
        <x:v>seed</x:v>
      </x:c>
      <x:c r="C154" s="10" t="n">
        <x:v>21</x:v>
      </x:c>
      <x:c r="D154" s="5" t="n">
        <x:v>0.03935236004282938</x:v>
      </x:c>
      <x:c r="E154" s="5" t="str">
        <x:v>S004</x:v>
      </x:c>
    </x:row>
    <x:row r="155" ht="22" customHeight="1">
      <x:c r="A155" s="9" t="str">
        <x:v>broad</x:v>
      </x:c>
      <x:c r="B155" s="9" t="str">
        <x:v>seed</x:v>
      </x:c>
      <x:c r="C155" s="11" t="n">
        <x:v>22</x:v>
      </x:c>
      <x:c r="D155" s="9" t="n">
        <x:v>0.03515946511606486</x:v>
      </x:c>
      <x:c r="E155" s="9" t="str">
        <x:v>S004</x:v>
      </x:c>
    </x:row>
    <x:row r="156" ht="22" customHeight="1">
      <x:c r="A156" s="5" t="str">
        <x:v>broad</x:v>
      </x:c>
      <x:c r="B156" s="5" t="str">
        <x:v>seed</x:v>
      </x:c>
      <x:c r="C156" s="10" t="n">
        <x:v>23</x:v>
      </x:c>
      <x:c r="D156" s="5" t="n">
        <x:v>0.034045286469705636</x:v>
      </x:c>
      <x:c r="E156" s="5" t="str">
        <x:v>S004</x:v>
      </x:c>
    </x:row>
    <x:row r="157" ht="22" customHeight="1">
      <x:c r="A157" s="9" t="str">
        <x:v>broad</x:v>
      </x:c>
      <x:c r="B157" s="9" t="str">
        <x:v>seed</x:v>
      </x:c>
      <x:c r="C157" s="11" t="n">
        <x:v>24</x:v>
      </x:c>
      <x:c r="D157" s="9" t="n">
        <x:v>0.033613012423541366</x:v>
      </x:c>
      <x:c r="E157" s="9" t="str">
        <x:v>S004</x:v>
      </x:c>
    </x:row>
    <x:row r="158" ht="22" customHeight="1">
      <x:c r="A158" s="5" t="str">
        <x:v>broad</x:v>
      </x:c>
      <x:c r="B158" s="5" t="str">
        <x:v>seed</x:v>
      </x:c>
      <x:c r="C158" s="10" t="n">
        <x:v>25</x:v>
      </x:c>
      <x:c r="D158" s="5" t="n">
        <x:v>0.029533146343935203</x:v>
      </x:c>
      <x:c r="E158" s="5" t="str">
        <x:v>S004</x:v>
      </x:c>
    </x:row>
    <x:row r="159" ht="22" customHeight="1">
      <x:c r="A159" s="9" t="str">
        <x:v>broad</x:v>
      </x:c>
      <x:c r="B159" s="9" t="str">
        <x:v>seed</x:v>
      </x:c>
      <x:c r="C159" s="11" t="n">
        <x:v>26</x:v>
      </x:c>
      <x:c r="D159" s="9" t="n">
        <x:v>0.029469974783988086</x:v>
      </x:c>
      <x:c r="E159" s="9" t="str">
        <x:v>S004</x:v>
      </x:c>
    </x:row>
    <x:row r="160" ht="22" customHeight="1">
      <x:c r="A160" s="5" t="str">
        <x:v>broad</x:v>
      </x:c>
      <x:c r="B160" s="5" t="str">
        <x:v>seed</x:v>
      </x:c>
      <x:c r="C160" s="10" t="n">
        <x:v>27</x:v>
      </x:c>
      <x:c r="D160" s="5" t="n">
        <x:v>0.02855571603364032</x:v>
      </x:c>
      <x:c r="E160" s="5" t="str">
        <x:v>S004</x:v>
      </x:c>
    </x:row>
    <x:row r="161" ht="22" customHeight="1">
      <x:c r="A161" s="9" t="str">
        <x:v>broad</x:v>
      </x:c>
      <x:c r="B161" s="9" t="str">
        <x:v>seed</x:v>
      </x:c>
      <x:c r="C161" s="11" t="n">
        <x:v>28</x:v>
      </x:c>
      <x:c r="D161" s="9" t="n">
        <x:v>0.0261710687314128</x:v>
      </x:c>
      <x:c r="E161" s="9" t="str">
        <x:v>S004</x:v>
      </x:c>
    </x:row>
    <x:row r="162" ht="22" customHeight="1">
      <x:c r="A162" s="5" t="str">
        <x:v>broad</x:v>
      </x:c>
      <x:c r="B162" s="5" t="str">
        <x:v>seed</x:v>
      </x:c>
      <x:c r="C162" s="10" t="n">
        <x:v>29</x:v>
      </x:c>
      <x:c r="D162" s="5" t="n">
        <x:v>0.024954255004696474</x:v>
      </x:c>
      <x:c r="E162" s="5" t="str">
        <x:v>S004</x:v>
      </x:c>
    </x:row>
    <x:row r="163" ht="22" customHeight="1">
      <x:c r="A163" s="9" t="str">
        <x:v>broad</x:v>
      </x:c>
      <x:c r="B163" s="9" t="str">
        <x:v>seed</x:v>
      </x:c>
      <x:c r="C163" s="11" t="n">
        <x:v>30</x:v>
      </x:c>
      <x:c r="D163" s="9" t="n">
        <x:v>0.016633443118757408</x:v>
      </x:c>
      <x:c r="E163" s="9" t="str">
        <x:v>S004</x:v>
      </x:c>
    </x:row>
    <x:row r="164" ht="22" customHeight="1">
      <x:c r="A164" s="5" t="str">
        <x:v>broad</x:v>
      </x:c>
      <x:c r="B164" s="5" t="str">
        <x:v>seed</x:v>
      </x:c>
      <x:c r="C164" s="10" t="n">
        <x:v>31</x:v>
      </x:c>
      <x:c r="D164" s="5" t="n">
        <x:v>0.012592749860303272</x:v>
      </x:c>
      <x:c r="E164" s="5" t="str">
        <x:v>S004</x:v>
      </x:c>
    </x:row>
    <x:row r="165" ht="22" customHeight="1">
      <x:c r="A165" s="9" t="str">
        <x:v>broad</x:v>
      </x:c>
      <x:c r="B165" s="9" t="str">
        <x:v>seed</x:v>
      </x:c>
      <x:c r="C165" s="11" t="n">
        <x:v>32</x:v>
      </x:c>
      <x:c r="D165" s="9" t="n">
        <x:v>0.011339953995163146</x:v>
      </x:c>
      <x:c r="E165" s="9" t="str">
        <x:v>S004</x:v>
      </x:c>
    </x:row>
    <x:row r="166" ht="22" customHeight="1">
      <x:c r="A166" s="5" t="str">
        <x:v>broad</x:v>
      </x:c>
      <x:c r="B166" s="5" t="str">
        <x:v>uniform</x:v>
      </x:c>
      <x:c r="C166" s="10" t="n">
        <x:v>1</x:v>
      </x:c>
      <x:c r="D166" s="5" t="n">
        <x:v>0.9407154716702961</x:v>
      </x:c>
      <x:c r="E166" s="5" t="str">
        <x:v>S004</x:v>
      </x:c>
    </x:row>
    <x:row r="167" ht="22" customHeight="1">
      <x:c r="A167" s="9" t="str">
        <x:v>broad</x:v>
      </x:c>
      <x:c r="B167" s="9" t="str">
        <x:v>uniform</x:v>
      </x:c>
      <x:c r="C167" s="11" t="n">
        <x:v>2</x:v>
      </x:c>
      <x:c r="D167" s="9" t="n">
        <x:v>0.34523585283807</x:v>
      </x:c>
      <x:c r="E167" s="9" t="str">
        <x:v>S004</x:v>
      </x:c>
    </x:row>
    <x:row r="168" ht="22" customHeight="1">
      <x:c r="A168" s="5" t="str">
        <x:v>broad</x:v>
      </x:c>
      <x:c r="B168" s="5" t="str">
        <x:v>uniform</x:v>
      </x:c>
      <x:c r="C168" s="10" t="n">
        <x:v>3</x:v>
      </x:c>
      <x:c r="D168" s="5" t="n">
        <x:v>0.26769709567462396</x:v>
      </x:c>
      <x:c r="E168" s="5" t="str">
        <x:v>S004</x:v>
      </x:c>
    </x:row>
    <x:row r="169" ht="22" customHeight="1">
      <x:c r="A169" s="9" t="str">
        <x:v>broad</x:v>
      </x:c>
      <x:c r="B169" s="9" t="str">
        <x:v>uniform</x:v>
      </x:c>
      <x:c r="C169" s="11" t="n">
        <x:v>4</x:v>
      </x:c>
      <x:c r="D169" s="9" t="n">
        <x:v>0.17626845755422985</x:v>
      </x:c>
      <x:c r="E169" s="9" t="str">
        <x:v>S004</x:v>
      </x:c>
    </x:row>
    <x:row r="170" ht="22" customHeight="1">
      <x:c r="A170" s="5" t="str">
        <x:v>broad</x:v>
      </x:c>
      <x:c r="B170" s="5" t="str">
        <x:v>uniform</x:v>
      </x:c>
      <x:c r="C170" s="10" t="n">
        <x:v>5</x:v>
      </x:c>
      <x:c r="D170" s="5" t="n">
        <x:v>0.16302831467564566</x:v>
      </x:c>
      <x:c r="E170" s="5" t="str">
        <x:v>S004</x:v>
      </x:c>
    </x:row>
    <x:row r="171" ht="22" customHeight="1">
      <x:c r="A171" s="9" t="str">
        <x:v>broad</x:v>
      </x:c>
      <x:c r="B171" s="9" t="str">
        <x:v>uniform</x:v>
      </x:c>
      <x:c r="C171" s="11" t="n">
        <x:v>6</x:v>
      </x:c>
      <x:c r="D171" s="9" t="n">
        <x:v>0.15258805136327677</x:v>
      </x:c>
      <x:c r="E171" s="9" t="str">
        <x:v>S004</x:v>
      </x:c>
    </x:row>
    <x:row r="172" ht="22" customHeight="1">
      <x:c r="A172" s="5" t="str">
        <x:v>broad</x:v>
      </x:c>
      <x:c r="B172" s="5" t="str">
        <x:v>uniform</x:v>
      </x:c>
      <x:c r="C172" s="10" t="n">
        <x:v>7</x:v>
      </x:c>
      <x:c r="D172" s="5" t="n">
        <x:v>0.14214778805090791</x:v>
      </x:c>
      <x:c r="E172" s="5" t="str">
        <x:v>S004</x:v>
      </x:c>
    </x:row>
    <x:row r="173" ht="22" customHeight="1">
      <x:c r="A173" s="9" t="str">
        <x:v>broad</x:v>
      </x:c>
      <x:c r="B173" s="9" t="str">
        <x:v>uniform</x:v>
      </x:c>
      <x:c r="C173" s="11" t="n">
        <x:v>8</x:v>
      </x:c>
      <x:c r="D173" s="9" t="n">
        <x:v>0.14013670247124982</x:v>
      </x:c>
      <x:c r="E173" s="9" t="str">
        <x:v>S004</x:v>
      </x:c>
    </x:row>
    <x:row r="174" ht="22" customHeight="1">
      <x:c r="A174" s="5" t="str">
        <x:v>broad</x:v>
      </x:c>
      <x:c r="B174" s="5" t="str">
        <x:v>uniform</x:v>
      </x:c>
      <x:c r="C174" s="10" t="n">
        <x:v>9</x:v>
      </x:c>
      <x:c r="D174" s="5" t="n">
        <x:v>0.13866836956942544</x:v>
      </x:c>
      <x:c r="E174" s="5" t="str">
        <x:v>S004</x:v>
      </x:c>
    </x:row>
    <x:row r="175" ht="22" customHeight="1">
      <x:c r="A175" s="9" t="str">
        <x:v>broad</x:v>
      </x:c>
      <x:c r="B175" s="9" t="str">
        <x:v>uniform</x:v>
      </x:c>
      <x:c r="C175" s="11" t="n">
        <x:v>10</x:v>
      </x:c>
      <x:c r="D175" s="9" t="n">
        <x:v>0.12708319792797748</x:v>
      </x:c>
      <x:c r="E175" s="9" t="str">
        <x:v>S004</x:v>
      </x:c>
    </x:row>
    <x:row r="176" ht="22" customHeight="1">
      <x:c r="A176" s="5" t="str">
        <x:v>broad</x:v>
      </x:c>
      <x:c r="B176" s="5" t="str">
        <x:v>uniform</x:v>
      </x:c>
      <x:c r="C176" s="10" t="n">
        <x:v>11</x:v>
      </x:c>
      <x:c r="D176" s="5" t="n">
        <x:v>0.11720290751289715</x:v>
      </x:c>
      <x:c r="E176" s="5" t="str">
        <x:v>S004</x:v>
      </x:c>
    </x:row>
    <x:row r="177" ht="22" customHeight="1">
      <x:c r="A177" s="9" t="str">
        <x:v>broad</x:v>
      </x:c>
      <x:c r="B177" s="9" t="str">
        <x:v>uniform</x:v>
      </x:c>
      <x:c r="C177" s="11" t="n">
        <x:v>12</x:v>
      </x:c>
      <x:c r="D177" s="9" t="n">
        <x:v>0.11071474167568554</x:v>
      </x:c>
      <x:c r="E177" s="9" t="str">
        <x:v>S004</x:v>
      </x:c>
    </x:row>
    <x:row r="178" ht="22" customHeight="1">
      <x:c r="A178" s="5" t="str">
        <x:v>broad</x:v>
      </x:c>
      <x:c r="B178" s="5" t="str">
        <x:v>uniform</x:v>
      </x:c>
      <x:c r="C178" s="10" t="n">
        <x:v>13</x:v>
      </x:c>
      <x:c r="D178" s="5" t="n">
        <x:v>0.10433731567793782</x:v>
      </x:c>
      <x:c r="E178" s="5" t="str">
        <x:v>S004</x:v>
      </x:c>
    </x:row>
    <x:row r="179" ht="22" customHeight="1">
      <x:c r="A179" s="9" t="str">
        <x:v>broad</x:v>
      </x:c>
      <x:c r="B179" s="9" t="str">
        <x:v>uniform</x:v>
      </x:c>
      <x:c r="C179" s="11" t="n">
        <x:v>14</x:v>
      </x:c>
      <x:c r="D179" s="9" t="n">
        <x:v>0.10433731567793782</x:v>
      </x:c>
      <x:c r="E179" s="9" t="str">
        <x:v>S004</x:v>
      </x:c>
    </x:row>
    <x:row r="180" ht="22" customHeight="1">
      <x:c r="A180" s="5" t="str">
        <x:v>broad</x:v>
      </x:c>
      <x:c r="B180" s="5" t="str">
        <x:v>uniform</x:v>
      </x:c>
      <x:c r="C180" s="10" t="n">
        <x:v>15</x:v>
      </x:c>
      <x:c r="D180" s="5" t="n">
        <x:v>0.101450432887303</x:v>
      </x:c>
      <x:c r="E180" s="5" t="str">
        <x:v>S004</x:v>
      </x:c>
    </x:row>
    <x:row r="181" ht="22" customHeight="1">
      <x:c r="A181" s="9" t="str">
        <x:v>broad</x:v>
      </x:c>
      <x:c r="B181" s="9" t="str">
        <x:v>uniform</x:v>
      </x:c>
      <x:c r="C181" s="11" t="n">
        <x:v>16</x:v>
      </x:c>
      <x:c r="D181" s="9" t="n">
        <x:v>0.09330276309338836</x:v>
      </x:c>
      <x:c r="E181" s="9" t="str">
        <x:v>S004</x:v>
      </x:c>
    </x:row>
    <x:row r="182" ht="22" customHeight="1">
      <x:c r="A182" s="5" t="str">
        <x:v>broad</x:v>
      </x:c>
      <x:c r="B182" s="5" t="str">
        <x:v>uniform</x:v>
      </x:c>
      <x:c r="C182" s="10" t="n">
        <x:v>17</x:v>
      </x:c>
      <x:c r="D182" s="5" t="n">
        <x:v>0.08731761710725468</x:v>
      </x:c>
      <x:c r="E182" s="5" t="str">
        <x:v>S004</x:v>
      </x:c>
    </x:row>
    <x:row r="183" ht="22" customHeight="1">
      <x:c r="A183" s="9" t="str">
        <x:v>broad</x:v>
      </x:c>
      <x:c r="B183" s="9" t="str">
        <x:v>uniform</x:v>
      </x:c>
      <x:c r="C183" s="11" t="n">
        <x:v>18</x:v>
      </x:c>
      <x:c r="D183" s="9" t="n">
        <x:v>0.08204007850311683</x:v>
      </x:c>
      <x:c r="E183" s="9" t="str">
        <x:v>S004</x:v>
      </x:c>
    </x:row>
    <x:row r="184" ht="22" customHeight="1">
      <x:c r="A184" s="5" t="str">
        <x:v>broad</x:v>
      </x:c>
      <x:c r="B184" s="5" t="str">
        <x:v>uniform</x:v>
      </x:c>
      <x:c r="C184" s="10" t="n">
        <x:v>19</x:v>
      </x:c>
      <x:c r="D184" s="5" t="n">
        <x:v>0.07836824129036388</x:v>
      </x:c>
      <x:c r="E184" s="5" t="str">
        <x:v>S004</x:v>
      </x:c>
    </x:row>
    <x:row r="185" ht="22" customHeight="1">
      <x:c r="A185" s="9" t="str">
        <x:v>broad</x:v>
      </x:c>
      <x:c r="B185" s="9" t="str">
        <x:v>uniform</x:v>
      </x:c>
      <x:c r="C185" s="11" t="n">
        <x:v>20</x:v>
      </x:c>
      <x:c r="D185" s="9" t="n">
        <x:v>0.07593778114718434</x:v>
      </x:c>
      <x:c r="E185" s="9" t="str">
        <x:v>S004</x:v>
      </x:c>
    </x:row>
    <x:row r="186" ht="22" customHeight="1">
      <x:c r="A186" s="5" t="str">
        <x:v>broad</x:v>
      </x:c>
      <x:c r="B186" s="5" t="str">
        <x:v>uniform</x:v>
      </x:c>
      <x:c r="C186" s="10" t="n">
        <x:v>21</x:v>
      </x:c>
      <x:c r="D186" s="5" t="n">
        <x:v>0.07080289258404743</x:v>
      </x:c>
      <x:c r="E186" s="5" t="str">
        <x:v>S004</x:v>
      </x:c>
    </x:row>
    <x:row r="187" ht="22" customHeight="1">
      <x:c r="A187" s="9" t="str">
        <x:v>broad</x:v>
      </x:c>
      <x:c r="B187" s="9" t="str">
        <x:v>uniform</x:v>
      </x:c>
      <x:c r="C187" s="11" t="n">
        <x:v>22</x:v>
      </x:c>
      <x:c r="D187" s="9" t="n">
        <x:v>0.06639789578629512</x:v>
      </x:c>
      <x:c r="E187" s="9" t="str">
        <x:v>S004</x:v>
      </x:c>
    </x:row>
    <x:row r="188" ht="22" customHeight="1">
      <x:c r="A188" s="5" t="str">
        <x:v>broad</x:v>
      </x:c>
      <x:c r="B188" s="5" t="str">
        <x:v>uniform</x:v>
      </x:c>
      <x:c r="C188" s="10" t="n">
        <x:v>23</x:v>
      </x:c>
      <x:c r="D188" s="5" t="n">
        <x:v>0.06197274099823757</x:v>
      </x:c>
      <x:c r="E188" s="5" t="str">
        <x:v>S004</x:v>
      </x:c>
    </x:row>
    <x:row r="189" ht="22" customHeight="1">
      <x:c r="A189" s="9" t="str">
        <x:v>broad</x:v>
      </x:c>
      <x:c r="B189" s="9" t="str">
        <x:v>uniform</x:v>
      </x:c>
      <x:c r="C189" s="11" t="n">
        <x:v>24</x:v>
      </x:c>
      <x:c r="D189" s="9" t="n">
        <x:v>0.05834092600903633</x:v>
      </x:c>
      <x:c r="E189" s="9" t="str">
        <x:v>S004</x:v>
      </x:c>
    </x:row>
    <x:row r="190" ht="22" customHeight="1">
      <x:c r="A190" s="5" t="str">
        <x:v>broad</x:v>
      </x:c>
      <x:c r="B190" s="5" t="str">
        <x:v>uniform</x:v>
      </x:c>
      <x:c r="C190" s="10" t="n">
        <x:v>25</x:v>
      </x:c>
      <x:c r="D190" s="5" t="n">
        <x:v>0.05802398506852342</x:v>
      </x:c>
      <x:c r="E190" s="5" t="str">
        <x:v>S004</x:v>
      </x:c>
    </x:row>
    <x:row r="191" ht="22" customHeight="1">
      <x:c r="A191" s="9" t="str">
        <x:v>broad</x:v>
      </x:c>
      <x:c r="B191" s="9" t="str">
        <x:v>uniform</x:v>
      </x:c>
      <x:c r="C191" s="11" t="n">
        <x:v>26</x:v>
      </x:c>
      <x:c r="D191" s="9" t="n">
        <x:v>0.05770704412801052</x:v>
      </x:c>
      <x:c r="E191" s="9" t="str">
        <x:v>S004</x:v>
      </x:c>
    </x:row>
    <x:row r="192" ht="22" customHeight="1">
      <x:c r="A192" s="5" t="str">
        <x:v>broad</x:v>
      </x:c>
      <x:c r="B192" s="5" t="str">
        <x:v>uniform</x:v>
      </x:c>
      <x:c r="C192" s="10" t="n">
        <x:v>27</x:v>
      </x:c>
      <x:c r="D192" s="5" t="n">
        <x:v>0.05741026117780286</x:v>
      </x:c>
      <x:c r="E192" s="5" t="str">
        <x:v>S004</x:v>
      </x:c>
    </x:row>
    <x:row r="193" ht="22" customHeight="1">
      <x:c r="A193" s="9" t="str">
        <x:v>broad</x:v>
      </x:c>
      <x:c r="B193" s="9" t="str">
        <x:v>uniform</x:v>
      </x:c>
      <x:c r="C193" s="11" t="n">
        <x:v>28</x:v>
      </x:c>
      <x:c r="D193" s="9" t="n">
        <x:v>0.05724046267422461</x:v>
      </x:c>
      <x:c r="E193" s="9" t="str">
        <x:v>S004</x:v>
      </x:c>
    </x:row>
    <x:row r="194" ht="22" customHeight="1">
      <x:c r="A194" s="5" t="str">
        <x:v>broad</x:v>
      </x:c>
      <x:c r="B194" s="5" t="str">
        <x:v>uniform</x:v>
      </x:c>
      <x:c r="C194" s="10" t="n">
        <x:v>29</x:v>
      </x:c>
      <x:c r="D194" s="5" t="n">
        <x:v>0.05622784733380845</x:v>
      </x:c>
      <x:c r="E194" s="5" t="str">
        <x:v>S004</x:v>
      </x:c>
    </x:row>
    <x:row r="195" ht="22" customHeight="1">
      <x:c r="A195" s="9" t="str">
        <x:v>broad</x:v>
      </x:c>
      <x:c r="B195" s="9" t="str">
        <x:v>uniform</x:v>
      </x:c>
      <x:c r="C195" s="11" t="n">
        <x:v>30</x:v>
      </x:c>
      <x:c r="D195" s="9" t="n">
        <x:v>0.05521523199339229</x:v>
      </x:c>
      <x:c r="E195" s="9" t="str">
        <x:v>S004</x:v>
      </x:c>
    </x:row>
    <x:row r="196" ht="22" customHeight="1">
      <x:c r="A196" s="5" t="str">
        <x:v>broad</x:v>
      </x:c>
      <x:c r="B196" s="5" t="str">
        <x:v>uniform</x:v>
      </x:c>
      <x:c r="C196" s="10" t="n">
        <x:v>31</x:v>
      </x:c>
      <x:c r="D196" s="5" t="n">
        <x:v>0.05420261665297613</x:v>
      </x:c>
      <x:c r="E196" s="5" t="str">
        <x:v>S004</x:v>
      </x:c>
    </x:row>
    <x:row r="197" ht="22" customHeight="1">
      <x:c r="A197" s="9" t="str">
        <x:v>broad</x:v>
      </x:c>
      <x:c r="B197" s="9" t="str">
        <x:v>uniform</x:v>
      </x:c>
      <x:c r="C197" s="11" t="n">
        <x:v>32</x:v>
      </x:c>
      <x:c r="D197" s="9" t="n">
        <x:v>0.05151090410512259</x:v>
      </x:c>
      <x:c r="E197" s="9" t="str">
        <x:v>S004</x:v>
      </x:c>
    </x:row>
    <x:row r="198" ht="22" customHeight="1">
      <x:c r="A198" s="5" t="str">
        <x:v>broad</x:v>
      </x:c>
      <x:c r="B198" s="5" t="str">
        <x:v>midpoint</x:v>
      </x:c>
      <x:c r="C198" s="10" t="n">
        <x:v>1</x:v>
      </x:c>
      <x:c r="D198" s="5" t="n">
        <x:v>0.32879131039310494</x:v>
      </x:c>
      <x:c r="E198" s="5" t="str">
        <x:v>S004</x:v>
      </x:c>
    </x:row>
    <x:row r="199" ht="22" customHeight="1">
      <x:c r="A199" s="9" t="str">
        <x:v>broad</x:v>
      </x:c>
      <x:c r="B199" s="9" t="str">
        <x:v>midpoint</x:v>
      </x:c>
      <x:c r="C199" s="11" t="n">
        <x:v>2</x:v>
      </x:c>
      <x:c r="D199" s="9" t="n">
        <x:v>0.32879131039310494</x:v>
      </x:c>
      <x:c r="E199" s="9" t="str">
        <x:v>S004</x:v>
      </x:c>
    </x:row>
    <x:row r="200" ht="22" customHeight="1">
      <x:c r="A200" s="5" t="str">
        <x:v>broad</x:v>
      </x:c>
      <x:c r="B200" s="5" t="str">
        <x:v>midpoint</x:v>
      </x:c>
      <x:c r="C200" s="10" t="n">
        <x:v>3</x:v>
      </x:c>
      <x:c r="D200" s="5" t="n">
        <x:v>0.32879131039310494</x:v>
      </x:c>
      <x:c r="E200" s="5" t="str">
        <x:v>S004</x:v>
      </x:c>
    </x:row>
    <x:row r="201" ht="22" customHeight="1">
      <x:c r="A201" s="9" t="str">
        <x:v>broad</x:v>
      </x:c>
      <x:c r="B201" s="9" t="str">
        <x:v>midpoint</x:v>
      </x:c>
      <x:c r="C201" s="11" t="n">
        <x:v>4</x:v>
      </x:c>
      <x:c r="D201" s="9" t="n">
        <x:v>0.32879131039310494</x:v>
      </x:c>
      <x:c r="E201" s="9" t="str">
        <x:v>S004</x:v>
      </x:c>
    </x:row>
    <x:row r="202" ht="22" customHeight="1">
      <x:c r="A202" s="5" t="str">
        <x:v>broad</x:v>
      </x:c>
      <x:c r="B202" s="5" t="str">
        <x:v>midpoint</x:v>
      </x:c>
      <x:c r="C202" s="10" t="n">
        <x:v>5</x:v>
      </x:c>
      <x:c r="D202" s="5" t="n">
        <x:v>0.32879131039310494</x:v>
      </x:c>
      <x:c r="E202" s="5" t="str">
        <x:v>S004</x:v>
      </x:c>
    </x:row>
    <x:row r="203" ht="22" customHeight="1">
      <x:c r="A203" s="9" t="str">
        <x:v>broad</x:v>
      </x:c>
      <x:c r="B203" s="9" t="str">
        <x:v>midpoint</x:v>
      </x:c>
      <x:c r="C203" s="11" t="n">
        <x:v>6</x:v>
      </x:c>
      <x:c r="D203" s="9" t="n">
        <x:v>0.32879131039310494</x:v>
      </x:c>
      <x:c r="E203" s="9" t="str">
        <x:v>S004</x:v>
      </x:c>
    </x:row>
    <x:row r="204" ht="22" customHeight="1">
      <x:c r="A204" s="5" t="str">
        <x:v>broad</x:v>
      </x:c>
      <x:c r="B204" s="5" t="str">
        <x:v>midpoint</x:v>
      </x:c>
      <x:c r="C204" s="10" t="n">
        <x:v>7</x:v>
      </x:c>
      <x:c r="D204" s="5" t="n">
        <x:v>0.32879131039310494</x:v>
      </x:c>
      <x:c r="E204" s="5" t="str">
        <x:v>S004</x:v>
      </x:c>
    </x:row>
    <x:row r="205" ht="22" customHeight="1">
      <x:c r="A205" s="9" t="str">
        <x:v>broad</x:v>
      </x:c>
      <x:c r="B205" s="9" t="str">
        <x:v>midpoint</x:v>
      </x:c>
      <x:c r="C205" s="11" t="n">
        <x:v>8</x:v>
      </x:c>
      <x:c r="D205" s="9" t="n">
        <x:v>0.32879131039310494</x:v>
      </x:c>
      <x:c r="E205" s="9" t="str">
        <x:v>S004</x:v>
      </x:c>
    </x:row>
    <x:row r="206" ht="22" customHeight="1">
      <x:c r="A206" s="5" t="str">
        <x:v>broad</x:v>
      </x:c>
      <x:c r="B206" s="5" t="str">
        <x:v>midpoint</x:v>
      </x:c>
      <x:c r="C206" s="10" t="n">
        <x:v>9</x:v>
      </x:c>
      <x:c r="D206" s="5" t="n">
        <x:v>0.32879131039310494</x:v>
      </x:c>
      <x:c r="E206" s="5" t="str">
        <x:v>S004</x:v>
      </x:c>
    </x:row>
    <x:row r="207" ht="22" customHeight="1">
      <x:c r="A207" s="9" t="str">
        <x:v>broad</x:v>
      </x:c>
      <x:c r="B207" s="9" t="str">
        <x:v>midpoint</x:v>
      </x:c>
      <x:c r="C207" s="11" t="n">
        <x:v>10</x:v>
      </x:c>
      <x:c r="D207" s="9" t="n">
        <x:v>0.32879131039310494</x:v>
      </x:c>
      <x:c r="E207" s="9" t="str">
        <x:v>S004</x:v>
      </x:c>
    </x:row>
    <x:row r="208" ht="22" customHeight="1">
      <x:c r="A208" s="5" t="str">
        <x:v>broad</x:v>
      </x:c>
      <x:c r="B208" s="5" t="str">
        <x:v>midpoint</x:v>
      </x:c>
      <x:c r="C208" s="10" t="n">
        <x:v>11</x:v>
      </x:c>
      <x:c r="D208" s="5" t="n">
        <x:v>0.32879131039310494</x:v>
      </x:c>
      <x:c r="E208" s="5" t="str">
        <x:v>S004</x:v>
      </x:c>
    </x:row>
    <x:row r="209" ht="22" customHeight="1">
      <x:c r="A209" s="9" t="str">
        <x:v>broad</x:v>
      </x:c>
      <x:c r="B209" s="9" t="str">
        <x:v>midpoint</x:v>
      </x:c>
      <x:c r="C209" s="11" t="n">
        <x:v>12</x:v>
      </x:c>
      <x:c r="D209" s="9" t="n">
        <x:v>0.32879131039310494</x:v>
      </x:c>
      <x:c r="E209" s="9" t="str">
        <x:v>S004</x:v>
      </x:c>
    </x:row>
    <x:row r="210" ht="22" customHeight="1">
      <x:c r="A210" s="5" t="str">
        <x:v>broad</x:v>
      </x:c>
      <x:c r="B210" s="5" t="str">
        <x:v>midpoint</x:v>
      </x:c>
      <x:c r="C210" s="10" t="n">
        <x:v>13</x:v>
      </x:c>
      <x:c r="D210" s="5" t="n">
        <x:v>0.32879131039310494</x:v>
      </x:c>
      <x:c r="E210" s="5" t="str">
        <x:v>S004</x:v>
      </x:c>
    </x:row>
    <x:row r="211" ht="22" customHeight="1">
      <x:c r="A211" s="9" t="str">
        <x:v>broad</x:v>
      </x:c>
      <x:c r="B211" s="9" t="str">
        <x:v>midpoint</x:v>
      </x:c>
      <x:c r="C211" s="11" t="n">
        <x:v>14</x:v>
      </x:c>
      <x:c r="D211" s="9" t="n">
        <x:v>0.32879131039310494</x:v>
      </x:c>
      <x:c r="E211" s="9" t="str">
        <x:v>S004</x:v>
      </x:c>
    </x:row>
    <x:row r="212" ht="22" customHeight="1">
      <x:c r="A212" s="5" t="str">
        <x:v>broad</x:v>
      </x:c>
      <x:c r="B212" s="5" t="str">
        <x:v>midpoint</x:v>
      </x:c>
      <x:c r="C212" s="10" t="n">
        <x:v>15</x:v>
      </x:c>
      <x:c r="D212" s="5" t="n">
        <x:v>0.32879131039310494</x:v>
      </x:c>
      <x:c r="E212" s="5" t="str">
        <x:v>S004</x:v>
      </x:c>
    </x:row>
    <x:row r="213" ht="22" customHeight="1">
      <x:c r="A213" s="9" t="str">
        <x:v>broad</x:v>
      </x:c>
      <x:c r="B213" s="9" t="str">
        <x:v>midpoint</x:v>
      </x:c>
      <x:c r="C213" s="11" t="n">
        <x:v>16</x:v>
      </x:c>
      <x:c r="D213" s="9" t="n">
        <x:v>0.32879131039310494</x:v>
      </x:c>
      <x:c r="E213" s="9" t="str">
        <x:v>S004</x:v>
      </x:c>
    </x:row>
    <x:row r="214" ht="22" customHeight="1">
      <x:c r="A214" s="5" t="str">
        <x:v>broad</x:v>
      </x:c>
      <x:c r="B214" s="5" t="str">
        <x:v>midpoint</x:v>
      </x:c>
      <x:c r="C214" s="10" t="n">
        <x:v>17</x:v>
      </x:c>
      <x:c r="D214" s="5" t="n">
        <x:v>0.32879131039310494</x:v>
      </x:c>
      <x:c r="E214" s="5" t="str">
        <x:v>S004</x:v>
      </x:c>
    </x:row>
    <x:row r="215" ht="22" customHeight="1">
      <x:c r="A215" s="9" t="str">
        <x:v>broad</x:v>
      </x:c>
      <x:c r="B215" s="9" t="str">
        <x:v>midpoint</x:v>
      </x:c>
      <x:c r="C215" s="11" t="n">
        <x:v>18</x:v>
      </x:c>
      <x:c r="D215" s="9" t="n">
        <x:v>0.32879131039310494</x:v>
      </x:c>
      <x:c r="E215" s="9" t="str">
        <x:v>S004</x:v>
      </x:c>
    </x:row>
    <x:row r="216" ht="22" customHeight="1">
      <x:c r="A216" s="5" t="str">
        <x:v>broad</x:v>
      </x:c>
      <x:c r="B216" s="5" t="str">
        <x:v>midpoint</x:v>
      </x:c>
      <x:c r="C216" s="10" t="n">
        <x:v>19</x:v>
      </x:c>
      <x:c r="D216" s="5" t="n">
        <x:v>0.32879131039310494</x:v>
      </x:c>
      <x:c r="E216" s="5" t="str">
        <x:v>S004</x:v>
      </x:c>
    </x:row>
    <x:row r="217" ht="22" customHeight="1">
      <x:c r="A217" s="9" t="str">
        <x:v>broad</x:v>
      </x:c>
      <x:c r="B217" s="9" t="str">
        <x:v>midpoint</x:v>
      </x:c>
      <x:c r="C217" s="11" t="n">
        <x:v>20</x:v>
      </x:c>
      <x:c r="D217" s="9" t="n">
        <x:v>0.32879131039310494</x:v>
      </x:c>
      <x:c r="E217" s="9" t="str">
        <x:v>S004</x:v>
      </x:c>
    </x:row>
    <x:row r="218" ht="22" customHeight="1">
      <x:c r="A218" s="5" t="str">
        <x:v>broad</x:v>
      </x:c>
      <x:c r="B218" s="5" t="str">
        <x:v>midpoint</x:v>
      </x:c>
      <x:c r="C218" s="10" t="n">
        <x:v>21</x:v>
      </x:c>
      <x:c r="D218" s="5" t="n">
        <x:v>0.32879131039310494</x:v>
      </x:c>
      <x:c r="E218" s="5" t="str">
        <x:v>S004</x:v>
      </x:c>
    </x:row>
    <x:row r="219" ht="22" customHeight="1">
      <x:c r="A219" s="9" t="str">
        <x:v>broad</x:v>
      </x:c>
      <x:c r="B219" s="9" t="str">
        <x:v>midpoint</x:v>
      </x:c>
      <x:c r="C219" s="11" t="n">
        <x:v>22</x:v>
      </x:c>
      <x:c r="D219" s="9" t="n">
        <x:v>0.32879131039310494</x:v>
      </x:c>
      <x:c r="E219" s="9" t="str">
        <x:v>S004</x:v>
      </x:c>
    </x:row>
    <x:row r="220" ht="22" customHeight="1">
      <x:c r="A220" s="5" t="str">
        <x:v>broad</x:v>
      </x:c>
      <x:c r="B220" s="5" t="str">
        <x:v>midpoint</x:v>
      </x:c>
      <x:c r="C220" s="10" t="n">
        <x:v>23</x:v>
      </x:c>
      <x:c r="D220" s="5" t="n">
        <x:v>0.32879131039310494</x:v>
      </x:c>
      <x:c r="E220" s="5" t="str">
        <x:v>S004</x:v>
      </x:c>
    </x:row>
    <x:row r="221" ht="22" customHeight="1">
      <x:c r="A221" s="9" t="str">
        <x:v>broad</x:v>
      </x:c>
      <x:c r="B221" s="9" t="str">
        <x:v>midpoint</x:v>
      </x:c>
      <x:c r="C221" s="11" t="n">
        <x:v>24</x:v>
      </x:c>
      <x:c r="D221" s="9" t="n">
        <x:v>0.32879131039310494</x:v>
      </x:c>
      <x:c r="E221" s="9" t="str">
        <x:v>S004</x:v>
      </x:c>
    </x:row>
    <x:row r="222" ht="22" customHeight="1">
      <x:c r="A222" s="5" t="str">
        <x:v>broad</x:v>
      </x:c>
      <x:c r="B222" s="5" t="str">
        <x:v>midpoint</x:v>
      </x:c>
      <x:c r="C222" s="10" t="n">
        <x:v>25</x:v>
      </x:c>
      <x:c r="D222" s="5" t="n">
        <x:v>0.32879131039310494</x:v>
      </x:c>
      <x:c r="E222" s="5" t="str">
        <x:v>S004</x:v>
      </x:c>
    </x:row>
    <x:row r="223" ht="22" customHeight="1">
      <x:c r="A223" s="9" t="str">
        <x:v>broad</x:v>
      </x:c>
      <x:c r="B223" s="9" t="str">
        <x:v>midpoint</x:v>
      </x:c>
      <x:c r="C223" s="11" t="n">
        <x:v>26</x:v>
      </x:c>
      <x:c r="D223" s="9" t="n">
        <x:v>0.32879131039310494</x:v>
      </x:c>
      <x:c r="E223" s="9" t="str">
        <x:v>S004</x:v>
      </x:c>
    </x:row>
    <x:row r="224" ht="22" customHeight="1">
      <x:c r="A224" s="5" t="str">
        <x:v>broad</x:v>
      </x:c>
      <x:c r="B224" s="5" t="str">
        <x:v>midpoint</x:v>
      </x:c>
      <x:c r="C224" s="10" t="n">
        <x:v>27</x:v>
      </x:c>
      <x:c r="D224" s="5" t="n">
        <x:v>0.32879131039310494</x:v>
      </x:c>
      <x:c r="E224" s="5" t="str">
        <x:v>S004</x:v>
      </x:c>
    </x:row>
    <x:row r="225" ht="22" customHeight="1">
      <x:c r="A225" s="9" t="str">
        <x:v>broad</x:v>
      </x:c>
      <x:c r="B225" s="9" t="str">
        <x:v>midpoint</x:v>
      </x:c>
      <x:c r="C225" s="11" t="n">
        <x:v>28</x:v>
      </x:c>
      <x:c r="D225" s="9" t="n">
        <x:v>0.32879131039310494</x:v>
      </x:c>
      <x:c r="E225" s="9" t="str">
        <x:v>S004</x:v>
      </x:c>
    </x:row>
    <x:row r="226" ht="22" customHeight="1">
      <x:c r="A226" s="5" t="str">
        <x:v>broad</x:v>
      </x:c>
      <x:c r="B226" s="5" t="str">
        <x:v>midpoint</x:v>
      </x:c>
      <x:c r="C226" s="10" t="n">
        <x:v>29</x:v>
      </x:c>
      <x:c r="D226" s="5" t="n">
        <x:v>0.32879131039310494</x:v>
      </x:c>
      <x:c r="E226" s="5" t="str">
        <x:v>S004</x:v>
      </x:c>
    </x:row>
    <x:row r="227" ht="22" customHeight="1">
      <x:c r="A227" s="9" t="str">
        <x:v>broad</x:v>
      </x:c>
      <x:c r="B227" s="9" t="str">
        <x:v>midpoint</x:v>
      </x:c>
      <x:c r="C227" s="11" t="n">
        <x:v>30</x:v>
      </x:c>
      <x:c r="D227" s="9" t="n">
        <x:v>0.32879131039310494</x:v>
      </x:c>
      <x:c r="E227" s="9" t="str">
        <x:v>S004</x:v>
      </x:c>
    </x:row>
    <x:row r="228" ht="22" customHeight="1">
      <x:c r="A228" s="5" t="str">
        <x:v>broad</x:v>
      </x:c>
      <x:c r="B228" s="5" t="str">
        <x:v>midpoint</x:v>
      </x:c>
      <x:c r="C228" s="10" t="n">
        <x:v>31</x:v>
      </x:c>
      <x:c r="D228" s="5" t="n">
        <x:v>0.32879131039310494</x:v>
      </x:c>
      <x:c r="E228" s="5" t="str">
        <x:v>S004</x:v>
      </x:c>
    </x:row>
    <x:row r="229" ht="22" customHeight="1">
      <x:c r="A229" s="9" t="str">
        <x:v>broad</x:v>
      </x:c>
      <x:c r="B229" s="9" t="str">
        <x:v>midpoint</x:v>
      </x:c>
      <x:c r="C229" s="11" t="n">
        <x:v>32</x:v>
      </x:c>
      <x:c r="D229" s="9" t="n">
        <x:v>0.32879131039310494</x:v>
      </x:c>
      <x:c r="E229" s="9" t="str">
        <x:v>S004</x:v>
      </x:c>
    </x:row>
    <x:row r="230" ht="22" customHeight="1">
      <x:c r="A230" s="5" t="str">
        <x:v>broad</x:v>
      </x:c>
      <x:c r="B230" s="5" t="str">
        <x:v>representative41</x:v>
      </x:c>
      <x:c r="C230" s="10" t="n">
        <x:v>1</x:v>
      </x:c>
      <x:c r="D230" s="5" t="n">
        <x:v>0.5395683197863897</x:v>
      </x:c>
      <x:c r="E230" s="5" t="str">
        <x:v>S004</x:v>
      </x:c>
    </x:row>
    <x:row r="231" ht="22" customHeight="1">
      <x:c r="A231" s="9" t="str">
        <x:v>broad</x:v>
      </x:c>
      <x:c r="B231" s="9" t="str">
        <x:v>representative41</x:v>
      </x:c>
      <x:c r="C231" s="11" t="n">
        <x:v>2</x:v>
      </x:c>
      <x:c r="D231" s="9" t="n">
        <x:v>0.3341323866869874</x:v>
      </x:c>
      <x:c r="E231" s="9" t="str">
        <x:v>S004</x:v>
      </x:c>
    </x:row>
    <x:row r="232" ht="22" customHeight="1">
      <x:c r="A232" s="5" t="str">
        <x:v>broad</x:v>
      </x:c>
      <x:c r="B232" s="5" t="str">
        <x:v>representative41</x:v>
      </x:c>
      <x:c r="C232" s="10" t="n">
        <x:v>3</x:v>
      </x:c>
      <x:c r="D232" s="5" t="n">
        <x:v>0.2602139793050313</x:v>
      </x:c>
      <x:c r="E232" s="5" t="str">
        <x:v>S004</x:v>
      </x:c>
    </x:row>
    <x:row r="233" ht="22" customHeight="1">
      <x:c r="A233" s="9" t="str">
        <x:v>broad</x:v>
      </x:c>
      <x:c r="B233" s="9" t="str">
        <x:v>representative41</x:v>
      </x:c>
      <x:c r="C233" s="11" t="n">
        <x:v>4</x:v>
      </x:c>
      <x:c r="D233" s="9" t="n">
        <x:v>0.19233286025209007</x:v>
      </x:c>
      <x:c r="E233" s="9" t="str">
        <x:v>S004</x:v>
      </x:c>
    </x:row>
    <x:row r="234" ht="22" customHeight="1">
      <x:c r="A234" s="5" t="str">
        <x:v>broad</x:v>
      </x:c>
      <x:c r="B234" s="5" t="str">
        <x:v>representative41</x:v>
      </x:c>
      <x:c r="C234" s="10" t="n">
        <x:v>5</x:v>
      </x:c>
      <x:c r="D234" s="5" t="n">
        <x:v>0.141404203146105</x:v>
      </x:c>
      <x:c r="E234" s="5" t="str">
        <x:v>S004</x:v>
      </x:c>
    </x:row>
    <x:row r="235" ht="22" customHeight="1">
      <x:c r="A235" s="9" t="str">
        <x:v>broad</x:v>
      </x:c>
      <x:c r="B235" s="9" t="str">
        <x:v>representative41</x:v>
      </x:c>
      <x:c r="C235" s="11" t="n">
        <x:v>6</x:v>
      </x:c>
      <x:c r="D235" s="9" t="n">
        <x:v>0.1270682612828814</x:v>
      </x:c>
      <x:c r="E235" s="9" t="str">
        <x:v>S004</x:v>
      </x:c>
    </x:row>
    <x:row r="236" ht="22" customHeight="1">
      <x:c r="A236" s="5" t="str">
        <x:v>broad</x:v>
      </x:c>
      <x:c r="B236" s="5" t="str">
        <x:v>representative41</x:v>
      </x:c>
      <x:c r="C236" s="10" t="n">
        <x:v>7</x:v>
      </x:c>
      <x:c r="D236" s="5" t="n">
        <x:v>0.09792781445115437</x:v>
      </x:c>
      <x:c r="E236" s="5" t="str">
        <x:v>S004</x:v>
      </x:c>
    </x:row>
    <x:row r="237" ht="22" customHeight="1">
      <x:c r="A237" s="9" t="str">
        <x:v>broad</x:v>
      </x:c>
      <x:c r="B237" s="9" t="str">
        <x:v>representative41</x:v>
      </x:c>
      <x:c r="C237" s="11" t="n">
        <x:v>8</x:v>
      </x:c>
      <x:c r="D237" s="9" t="n">
        <x:v>0.07740164863560912</x:v>
      </x:c>
      <x:c r="E237" s="9" t="str">
        <x:v>S004</x:v>
      </x:c>
    </x:row>
    <x:row r="238" ht="22" customHeight="1">
      <x:c r="A238" s="5" t="str">
        <x:v>broad</x:v>
      </x:c>
      <x:c r="B238" s="5" t="str">
        <x:v>representative41</x:v>
      </x:c>
      <x:c r="C238" s="10" t="n">
        <x:v>9</x:v>
      </x:c>
      <x:c r="D238" s="5" t="n">
        <x:v>0.06791095520089432</x:v>
      </x:c>
      <x:c r="E238" s="5" t="str">
        <x:v>S004</x:v>
      </x:c>
    </x:row>
    <x:row r="239" ht="22" customHeight="1">
      <x:c r="A239" s="9" t="str">
        <x:v>broad</x:v>
      </x:c>
      <x:c r="B239" s="9" t="str">
        <x:v>representative41</x:v>
      </x:c>
      <x:c r="C239" s="11" t="n">
        <x:v>10</x:v>
      </x:c>
      <x:c r="D239" s="9" t="n">
        <x:v>0.05653317083781193</x:v>
      </x:c>
      <x:c r="E239" s="9" t="str">
        <x:v>S004</x:v>
      </x:c>
    </x:row>
    <x:row r="240" ht="22" customHeight="1">
      <x:c r="A240" s="5" t="str">
        <x:v>broad</x:v>
      </x:c>
      <x:c r="B240" s="5" t="str">
        <x:v>representative41</x:v>
      </x:c>
      <x:c r="C240" s="10" t="n">
        <x:v>11</x:v>
      </x:c>
      <x:c r="D240" s="5" t="n">
        <x:v>0.05402021487912887</x:v>
      </x:c>
      <x:c r="E240" s="5" t="str">
        <x:v>S004</x:v>
      </x:c>
    </x:row>
    <x:row r="241" ht="22" customHeight="1">
      <x:c r="A241" s="9" t="str">
        <x:v>broad</x:v>
      </x:c>
      <x:c r="B241" s="9" t="str">
        <x:v>representative41</x:v>
      </x:c>
      <x:c r="C241" s="11" t="n">
        <x:v>12</x:v>
      </x:c>
      <x:c r="D241" s="9" t="n">
        <x:v>0.05398977543866479</x:v>
      </x:c>
      <x:c r="E241" s="9" t="str">
        <x:v>S004</x:v>
      </x:c>
    </x:row>
    <x:row r="242" ht="22" customHeight="1">
      <x:c r="A242" s="5" t="str">
        <x:v>broad</x:v>
      </x:c>
      <x:c r="B242" s="5" t="str">
        <x:v>representative41</x:v>
      </x:c>
      <x:c r="C242" s="10" t="n">
        <x:v>13</x:v>
      </x:c>
      <x:c r="D242" s="5" t="n">
        <x:v>0.05374880970101703</x:v>
      </x:c>
      <x:c r="E242" s="5" t="str">
        <x:v>S004</x:v>
      </x:c>
    </x:row>
    <x:row r="243" ht="22" customHeight="1">
      <x:c r="A243" s="9" t="str">
        <x:v>broad</x:v>
      </x:c>
      <x:c r="B243" s="9" t="str">
        <x:v>representative41</x:v>
      </x:c>
      <x:c r="C243" s="11" t="n">
        <x:v>14</x:v>
      </x:c>
      <x:c r="D243" s="9" t="n">
        <x:v>0.05368475086487268</x:v>
      </x:c>
      <x:c r="E243" s="9" t="str">
        <x:v>S004</x:v>
      </x:c>
    </x:row>
    <x:row r="244" ht="22" customHeight="1">
      <x:c r="A244" s="5" t="str">
        <x:v>broad</x:v>
      </x:c>
      <x:c r="B244" s="5" t="str">
        <x:v>representative41</x:v>
      </x:c>
      <x:c r="C244" s="10" t="n">
        <x:v>15</x:v>
      </x:c>
      <x:c r="D244" s="5" t="n">
        <x:v>0.05336916758266312</x:v>
      </x:c>
      <x:c r="E244" s="5" t="str">
        <x:v>S004</x:v>
      </x:c>
    </x:row>
    <x:row r="245" ht="22" customHeight="1">
      <x:c r="A245" s="9" t="str">
        <x:v>broad</x:v>
      </x:c>
      <x:c r="B245" s="9" t="str">
        <x:v>representative41</x:v>
      </x:c>
      <x:c r="C245" s="11" t="n">
        <x:v>16</x:v>
      </x:c>
      <x:c r="D245" s="9" t="n">
        <x:v>0.051601031434944544</x:v>
      </x:c>
      <x:c r="E245" s="9" t="str">
        <x:v>S004</x:v>
      </x:c>
    </x:row>
    <x:row r="246" ht="22" customHeight="1">
      <x:c r="A246" s="5" t="str">
        <x:v>broad</x:v>
      </x:c>
      <x:c r="B246" s="5" t="str">
        <x:v>representative41</x:v>
      </x:c>
      <x:c r="C246" s="10" t="n">
        <x:v>17</x:v>
      </x:c>
      <x:c r="D246" s="5" t="n">
        <x:v>0.0438808727190093</x:v>
      </x:c>
      <x:c r="E246" s="5" t="str">
        <x:v>S004</x:v>
      </x:c>
    </x:row>
    <x:row r="247" ht="22" customHeight="1">
      <x:c r="A247" s="9" t="str">
        <x:v>broad</x:v>
      </x:c>
      <x:c r="B247" s="9" t="str">
        <x:v>representative41</x:v>
      </x:c>
      <x:c r="C247" s="11" t="n">
        <x:v>18</x:v>
      </x:c>
      <x:c r="D247" s="9" t="n">
        <x:v>0.022519473984107998</x:v>
      </x:c>
      <x:c r="E247" s="9" t="str">
        <x:v>S004</x:v>
      </x:c>
    </x:row>
    <x:row r="248" ht="22" customHeight="1">
      <x:c r="A248" s="5" t="str">
        <x:v>broad</x:v>
      </x:c>
      <x:c r="B248" s="5" t="str">
        <x:v>representative41</x:v>
      </x:c>
      <x:c r="C248" s="10" t="n">
        <x:v>19</x:v>
      </x:c>
      <x:c r="D248" s="5" t="n">
        <x:v>0.014873143281653905</x:v>
      </x:c>
      <x:c r="E248" s="5" t="str">
        <x:v>S004</x:v>
      </x:c>
    </x:row>
    <x:row r="249" ht="22" customHeight="1">
      <x:c r="A249" s="9" t="str">
        <x:v>broad</x:v>
      </x:c>
      <x:c r="B249" s="9" t="str">
        <x:v>representative41</x:v>
      </x:c>
      <x:c r="C249" s="11" t="n">
        <x:v>20</x:v>
      </x:c>
      <x:c r="D249" s="9" t="n">
        <x:v>0.009264419556195967</x:v>
      </x:c>
      <x:c r="E249" s="9" t="str">
        <x:v>S004</x:v>
      </x:c>
    </x:row>
    <x:row r="250" ht="22" customHeight="1">
      <x:c r="A250" s="5" t="str">
        <x:v>broad</x:v>
      </x:c>
      <x:c r="B250" s="5" t="str">
        <x:v>representative41</x:v>
      </x:c>
      <x:c r="C250" s="10" t="n">
        <x:v>21</x:v>
      </x:c>
      <x:c r="D250" s="5" t="n">
        <x:v>0.00861032559262686</x:v>
      </x:c>
      <x:c r="E250" s="5" t="str">
        <x:v>S004</x:v>
      </x:c>
    </x:row>
    <x:row r="251" ht="22" customHeight="1">
      <x:c r="A251" s="9" t="str">
        <x:v>broad</x:v>
      </x:c>
      <x:c r="B251" s="9" t="str">
        <x:v>representative41</x:v>
      </x:c>
      <x:c r="C251" s="11" t="n">
        <x:v>22</x:v>
      </x:c>
      <x:c r="D251" s="9" t="n">
        <x:v>0.008275226689390494</x:v>
      </x:c>
      <x:c r="E251" s="9" t="str">
        <x:v>S004</x:v>
      </x:c>
    </x:row>
    <x:row r="252" ht="22" customHeight="1">
      <x:c r="A252" s="5" t="str">
        <x:v>broad</x:v>
      </x:c>
      <x:c r="B252" s="5" t="str">
        <x:v>representative41</x:v>
      </x:c>
      <x:c r="C252" s="10" t="n">
        <x:v>23</x:v>
      </x:c>
      <x:c r="D252" s="5" t="n">
        <x:v>0.008164444004414363</x:v>
      </x:c>
      <x:c r="E252" s="5" t="str">
        <x:v>S004</x:v>
      </x:c>
    </x:row>
    <x:row r="253" ht="22" customHeight="1">
      <x:c r="A253" s="9" t="str">
        <x:v>broad</x:v>
      </x:c>
      <x:c r="B253" s="9" t="str">
        <x:v>representative41</x:v>
      </x:c>
      <x:c r="C253" s="11" t="n">
        <x:v>24</x:v>
      </x:c>
      <x:c r="D253" s="9" t="n">
        <x:v>0.007333869569537146</x:v>
      </x:c>
      <x:c r="E253" s="9" t="str">
        <x:v>S004</x:v>
      </x:c>
    </x:row>
    <x:row r="254" ht="22" customHeight="1">
      <x:c r="A254" s="5" t="str">
        <x:v>broad</x:v>
      </x:c>
      <x:c r="B254" s="5" t="str">
        <x:v>representative41</x:v>
      </x:c>
      <x:c r="C254" s="10" t="n">
        <x:v>25</x:v>
      </x:c>
      <x:c r="D254" s="5" t="n">
        <x:v>0.006719939929159595</x:v>
      </x:c>
      <x:c r="E254" s="5" t="str">
        <x:v>S004</x:v>
      </x:c>
    </x:row>
    <x:row r="255" ht="22" customHeight="1">
      <x:c r="A255" s="9" t="str">
        <x:v>broad</x:v>
      </x:c>
      <x:c r="B255" s="9" t="str">
        <x:v>representative41</x:v>
      </x:c>
      <x:c r="C255" s="11" t="n">
        <x:v>26</x:v>
      </x:c>
      <x:c r="D255" s="9" t="n">
        <x:v>0.006299414426452365</x:v>
      </x:c>
      <x:c r="E255" s="9" t="str">
        <x:v>S004</x:v>
      </x:c>
    </x:row>
    <x:row r="256" ht="22" customHeight="1">
      <x:c r="A256" s="5" t="str">
        <x:v>broad</x:v>
      </x:c>
      <x:c r="B256" s="5" t="str">
        <x:v>representative41</x:v>
      </x:c>
      <x:c r="C256" s="10" t="n">
        <x:v>27</x:v>
      </x:c>
      <x:c r="D256" s="5" t="n">
        <x:v>0.005442162839445435</x:v>
      </x:c>
      <x:c r="E256" s="5" t="str">
        <x:v>S004</x:v>
      </x:c>
    </x:row>
    <x:row r="257" ht="22" customHeight="1">
      <x:c r="A257" s="9" t="str">
        <x:v>broad</x:v>
      </x:c>
      <x:c r="B257" s="9" t="str">
        <x:v>representative41</x:v>
      </x:c>
      <x:c r="C257" s="11" t="n">
        <x:v>28</x:v>
      </x:c>
      <x:c r="D257" s="9" t="n">
        <x:v>0.004967338119959823</x:v>
      </x:c>
      <x:c r="E257" s="9" t="str">
        <x:v>S004</x:v>
      </x:c>
    </x:row>
    <x:row r="258" ht="22" customHeight="1">
      <x:c r="A258" s="5" t="str">
        <x:v>broad</x:v>
      </x:c>
      <x:c r="B258" s="5" t="str">
        <x:v>representative41</x:v>
      </x:c>
      <x:c r="C258" s="10" t="n">
        <x:v>29</x:v>
      </x:c>
      <x:c r="D258" s="5" t="n">
        <x:v>0.004491543065411093</x:v>
      </x:c>
      <x:c r="E258" s="5" t="str">
        <x:v>S004</x:v>
      </x:c>
    </x:row>
    <x:row r="259" ht="22" customHeight="1">
      <x:c r="A259" s="9" t="str">
        <x:v>broad</x:v>
      </x:c>
      <x:c r="B259" s="9" t="str">
        <x:v>representative41</x:v>
      </x:c>
      <x:c r="C259" s="11" t="n">
        <x:v>30</x:v>
      </x:c>
      <x:c r="D259" s="9" t="n">
        <x:v>0.004016785698226356</x:v>
      </x:c>
      <x:c r="E259" s="9" t="str">
        <x:v>S004</x:v>
      </x:c>
    </x:row>
    <x:row r="260" ht="22" customHeight="1">
      <x:c r="A260" s="5" t="str">
        <x:v>broad</x:v>
      </x:c>
      <x:c r="B260" s="5" t="str">
        <x:v>representative41</x:v>
      </x:c>
      <x:c r="C260" s="10" t="n">
        <x:v>31</x:v>
      </x:c>
      <x:c r="D260" s="5" t="n">
        <x:v>0.003963623379914734</x:v>
      </x:c>
      <x:c r="E260" s="5" t="str">
        <x:v>S004</x:v>
      </x:c>
    </x:row>
    <x:row r="261" ht="22" customHeight="1">
      <x:c r="A261" s="9" t="str">
        <x:v>broad</x:v>
      </x:c>
      <x:c r="B261" s="9" t="str">
        <x:v>representative41</x:v>
      </x:c>
      <x:c r="C261" s="11" t="n">
        <x:v>32</x:v>
      </x:c>
      <x:c r="D261" s="9" t="n">
        <x:v>0.00377284462188365</x:v>
      </x:c>
      <x:c r="E261" s="9" t="str">
        <x:v>S004</x:v>
      </x:c>
    </x:row>
  </x:sheetData>
  <x:pageMargins left="0.7" right="0.7" top="0.75" bottom="0.75" header="0.3" footer="0.3"/>
  <x:tableParts count="1">
    <x:tablePart xmlns:r="http://schemas.openxmlformats.org/officeDocument/2006/relationships" r:id="R2191b8381c674cc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72" hidden="0" customWidth="1"/>
    <x:col min="18" max="18" width="72" hidden="0" customWidth="1"/>
  </x:cols>
  <x:sheetData>
    <x:row r="1" ht="29" customHeight="1">
      <x:c r="A1" s="1" t="str">
        <x:v>B2 : les 96 comparaisons appariées</x:v>
      </x:c>
    </x:row>
    <x:row r="2" ht="21" customHeight="1">
      <x:c r="A2" s="2" t="str">
        <x:v>Premier point au centre. Données exactes des quatre scatterplots ; toutes les pertes conservées.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Paire</x:v>
      </x:c>
      <x:c r="B5" s="8" t="str">
        <x:v>Distribution</x:v>
      </x:c>
      <x:c r="C5" s="8" t="str">
        <x:v>Strate</x:v>
      </x:c>
      <x:c r="D5" s="8" t="str">
        <x:v>Seed local</x:v>
      </x:c>
      <x:c r="E5" s="8" t="str">
        <x:v>AUC seed</x:v>
      </x:c>
      <x:c r="F5" s="8" t="str">
        <x:v>AUC B2</x:v>
      </x:c>
      <x:c r="G5" s="8" t="str">
        <x:v>Delta AUC</x:v>
      </x:c>
      <x:c r="H5" s="8" t="str">
        <x:v>Regret final seed</x:v>
      </x:c>
      <x:c r="I5" s="8" t="str">
        <x:v>Regret final B2</x:v>
      </x:c>
      <x:c r="J5" s="8" t="str">
        <x:v>Delta regret final</x:v>
      </x:c>
      <x:c r="K5" s="8" t="str">
        <x:v>Issue AUC</x:v>
      </x:c>
      <x:c r="L5" s="8" t="str">
        <x:v>Issue finale</x:v>
      </x:c>
      <x:c r="M5" s="8" t="str">
        <x:v>Seed valide</x:v>
      </x:c>
      <x:c r="N5" s="8" t="str">
        <x:v>B2 valide</x:v>
      </x:c>
      <x:c r="O5" s="8" t="str">
        <x:v>Source seed</x:v>
      </x:c>
      <x:c r="P5" s="8" t="str">
        <x:v>Source B2</x:v>
      </x:c>
      <x:c r="Q5" s="8" t="str">
        <x:v>Hash canonique raw seed</x:v>
      </x:c>
      <x:c r="R5" s="8" t="str">
        <x:v>Hash canonique raw B2</x:v>
      </x:c>
    </x:row>
    <x:row r="6" ht="22" customHeight="1">
      <x:c r="A6" s="5" t="str">
        <x:v>central/16201_00</x:v>
      </x:c>
      <x:c r="B6" s="5" t="str">
        <x:v>central</x:v>
      </x:c>
      <x:c r="C6" s="5" t="str">
        <x:v>sphere/2</x:v>
      </x:c>
      <x:c r="D6" s="10" t="n">
        <x:v>16201</x:v>
      </x:c>
      <x:c r="E6" s="5" t="n">
        <x:v>0.3321232732271398</x:v>
      </x:c>
      <x:c r="F6" s="5" t="n">
        <x:v>0.07300682568960104</x:v>
      </x:c>
      <x:c r="G6" s="5" t="n">
        <x:f>F6-E6</x:f>
        <x:v>-0.25911644753753876</x:v>
      </x:c>
      <x:c r="H6" s="5" t="n">
        <x:v>0.0035796413991329564</x:v>
      </x:c>
      <x:c r="I6" s="5" t="n">
        <x:v>0.03480847140232334</x:v>
      </x:c>
      <x:c r="J6" s="5" t="n">
        <x:f>I6-H6</x:f>
        <x:v>0.031228830003190385</x:v>
      </x:c>
      <x:c r="K6" s="5" t="str">
        <x:f>IF(G6&lt;0,"gain",IF(G6&gt;0,"perte","égalité"))</x:f>
        <x:v>gain</x:v>
      </x:c>
      <x:c r="L6" s="5" t="str">
        <x:f>IF(J6&lt;0,"gain",IF(J6&gt;0,"perte","égalité"))</x:f>
        <x:v>perte</x:v>
      </x:c>
      <x:c r="M6" s="10" t="n">
        <x:v>1</x:v>
      </x:c>
      <x:c r="N6" s="10" t="n">
        <x:v>1</x:v>
      </x:c>
      <x:c r="O6" s="5" t="str">
        <x:v>S013</x:v>
      </x:c>
      <x:c r="P6" s="5" t="str">
        <x:v>S014</x:v>
      </x:c>
      <x:c r="Q6" s="5" t="str">
        <x:v>b427771c0e4dd2f1d9a6bda75e5397d4b9d5c4283ecb8652948870f865a44b32</x:v>
      </x:c>
      <x:c r="R6" s="5" t="str">
        <x:v>58769a1d3095f0a9fd3df55396d849d1285e4798faf618a416a922a7570c8bbc</x:v>
      </x:c>
    </x:row>
    <x:row r="7" ht="22" customHeight="1">
      <x:c r="A7" s="9" t="str">
        <x:v>central/16202_00</x:v>
      </x:c>
      <x:c r="B7" s="9" t="str">
        <x:v>central</x:v>
      </x:c>
      <x:c r="C7" s="9" t="str">
        <x:v>sphere/2</x:v>
      </x:c>
      <x:c r="D7" s="11" t="n">
        <x:v>16202</x:v>
      </x:c>
      <x:c r="E7" s="9" t="n">
        <x:v>0.03171017543774205</x:v>
      </x:c>
      <x:c r="F7" s="9" t="n">
        <x:v>0.03470190093306181</x:v>
      </x:c>
      <x:c r="G7" s="9" t="n">
        <x:f>F7-E7</x:f>
        <x:v>0.002991725495319758</x:v>
      </x:c>
      <x:c r="H7" s="9" t="n">
        <x:v>0.0004968949203713321</x:v>
      </x:c>
      <x:c r="I7" s="9" t="n">
        <x:v>0.005780679928960562</x:v>
      </x:c>
      <x:c r="J7" s="9" t="n">
        <x:f>I7-H7</x:f>
        <x:v>0.005283785008589229</x:v>
      </x:c>
      <x:c r="K7" s="9" t="str">
        <x:f>IF(G7&lt;0,"gain",IF(G7&gt;0,"perte","égalité"))</x:f>
        <x:v>perte</x:v>
      </x:c>
      <x:c r="L7" s="9" t="str">
        <x:f>IF(J7&lt;0,"gain",IF(J7&gt;0,"perte","égalité"))</x:f>
        <x:v>perte</x:v>
      </x:c>
      <x:c r="M7" s="11" t="n">
        <x:v>1</x:v>
      </x:c>
      <x:c r="N7" s="11" t="n">
        <x:v>1</x:v>
      </x:c>
      <x:c r="O7" s="9" t="str">
        <x:v>S015</x:v>
      </x:c>
      <x:c r="P7" s="9" t="str">
        <x:v>S016</x:v>
      </x:c>
      <x:c r="Q7" s="9" t="str">
        <x:v>d16e088f2d94ae2da0b4cf62e019dd5cc66614cb5e3d9f0900c3b7ccfebd5b8e</x:v>
      </x:c>
      <x:c r="R7" s="9" t="str">
        <x:v>d964730f157fb9e6bd08d73e50e22f6e3e465e4e1b2fba625d960b4e04196ba9</x:v>
      </x:c>
    </x:row>
    <x:row r="8" ht="22" customHeight="1">
      <x:c r="A8" s="5" t="str">
        <x:v>central/16203_00</x:v>
      </x:c>
      <x:c r="B8" s="5" t="str">
        <x:v>central</x:v>
      </x:c>
      <x:c r="C8" s="5" t="str">
        <x:v>sphere/2</x:v>
      </x:c>
      <x:c r="D8" s="10" t="n">
        <x:v>16203</x:v>
      </x:c>
      <x:c r="E8" s="5" t="n">
        <x:v>0.023767242622591115</x:v>
      </x:c>
      <x:c r="F8" s="5" t="n">
        <x:v>0.023929232082139193</x:v>
      </x:c>
      <x:c r="G8" s="5" t="n">
        <x:f>F8-E8</x:f>
        <x:v>0.00016198945954807795</x:v>
      </x:c>
      <x:c r="H8" s="5" t="n">
        <x:v>0.00008767035273005394</x:v>
      </x:c>
      <x:c r="I8" s="5" t="n">
        <x:v>0.006026279544484494</x:v>
      </x:c>
      <x:c r="J8" s="5" t="n">
        <x:f>I8-H8</x:f>
        <x:v>0.00593860919175444</x:v>
      </x:c>
      <x:c r="K8" s="5" t="str">
        <x:f>IF(G8&lt;0,"gain",IF(G8&gt;0,"perte","égalité"))</x:f>
        <x:v>perte</x:v>
      </x:c>
      <x:c r="L8" s="5" t="str">
        <x:f>IF(J8&lt;0,"gain",IF(J8&gt;0,"perte","égalité"))</x:f>
        <x:v>perte</x:v>
      </x:c>
      <x:c r="M8" s="10" t="n">
        <x:v>1</x:v>
      </x:c>
      <x:c r="N8" s="10" t="n">
        <x:v>1</x:v>
      </x:c>
      <x:c r="O8" s="5" t="str">
        <x:v>S017</x:v>
      </x:c>
      <x:c r="P8" s="5" t="str">
        <x:v>S018</x:v>
      </x:c>
      <x:c r="Q8" s="5" t="str">
        <x:v>62dcdbe10a275aef4a225fb1cec3a51c6bd26e42699fb02800ebe8e01e139a46</x:v>
      </x:c>
      <x:c r="R8" s="5" t="str">
        <x:v>b7536460e706b6e46c094dd45378495fce6869f70ec48ed0b525ff45b2ce177f</x:v>
      </x:c>
    </x:row>
    <x:row r="9" ht="22" customHeight="1">
      <x:c r="A9" s="9" t="str">
        <x:v>central/16204_00</x:v>
      </x:c>
      <x:c r="B9" s="9" t="str">
        <x:v>central</x:v>
      </x:c>
      <x:c r="C9" s="9" t="str">
        <x:v>sphere/2</x:v>
      </x:c>
      <x:c r="D9" s="11" t="n">
        <x:v>16204</x:v>
      </x:c>
      <x:c r="E9" s="9" t="n">
        <x:v>0.08707443988630931</x:v>
      </x:c>
      <x:c r="F9" s="9" t="n">
        <x:v>0.0203755379053058</x:v>
      </x:c>
      <x:c r="G9" s="9" t="n">
        <x:f>F9-E9</x:f>
        <x:v>-0.0666989019810035</x:v>
      </x:c>
      <x:c r="H9" s="9" t="n">
        <x:v>0.003315686707845621</x:v>
      </x:c>
      <x:c r="I9" s="9" t="n">
        <x:v>8.187624871357339e-7</x:v>
      </x:c>
      <x:c r="J9" s="9" t="n">
        <x:f>I9-H9</x:f>
        <x:v>-0.0033148679453584855</x:v>
      </x:c>
      <x:c r="K9" s="9" t="str">
        <x:f>IF(G9&lt;0,"gain",IF(G9&gt;0,"perte","égalité"))</x:f>
        <x:v>gain</x:v>
      </x:c>
      <x:c r="L9" s="9" t="str">
        <x:f>IF(J9&lt;0,"gain",IF(J9&gt;0,"perte","égalité"))</x:f>
        <x:v>gain</x:v>
      </x:c>
      <x:c r="M9" s="11" t="n">
        <x:v>1</x:v>
      </x:c>
      <x:c r="N9" s="11" t="n">
        <x:v>1</x:v>
      </x:c>
      <x:c r="O9" s="9" t="str">
        <x:v>S019</x:v>
      </x:c>
      <x:c r="P9" s="9" t="str">
        <x:v>S020</x:v>
      </x:c>
      <x:c r="Q9" s="9" t="str">
        <x:v>ddafba073844ac547ad078f16c9d2d5cdcec51fd6c7627ce24eaec17604ae4ea</x:v>
      </x:c>
      <x:c r="R9" s="9" t="str">
        <x:v>8dd40adfab656b77665a66e52f8e3ca314291f12e077d1f51982ba3d976e643e</x:v>
      </x:c>
    </x:row>
    <x:row r="10" ht="22" customHeight="1">
      <x:c r="A10" s="5" t="str">
        <x:v>broad/16201_00</x:v>
      </x:c>
      <x:c r="B10" s="5" t="str">
        <x:v>broad</x:v>
      </x:c>
      <x:c r="C10" s="5" t="str">
        <x:v>sphere/2</x:v>
      </x:c>
      <x:c r="D10" s="10" t="n">
        <x:v>16201</x:v>
      </x:c>
      <x:c r="E10" s="5" t="n">
        <x:v>0.23279853315854832</x:v>
      </x:c>
      <x:c r="F10" s="5" t="n">
        <x:v>0.10803508991879471</x:v>
      </x:c>
      <x:c r="G10" s="5" t="n">
        <x:f>F10-E10</x:f>
        <x:v>-0.12476344323975361</x:v>
      </x:c>
      <x:c r="H10" s="5" t="n">
        <x:v>0.0036175974825566736</x:v>
      </x:c>
      <x:c r="I10" s="5" t="n">
        <x:v>0.0036175974825566736</x:v>
      </x:c>
      <x:c r="J10" s="5" t="n">
        <x:f>I10-H10</x:f>
        <x:v>0</x:v>
      </x:c>
      <x:c r="K10" s="5" t="str">
        <x:f>IF(G10&lt;0,"gain",IF(G10&gt;0,"perte","égalité"))</x:f>
        <x:v>gain</x:v>
      </x:c>
      <x:c r="L10" s="5" t="str">
        <x:f>IF(J10&lt;0,"gain",IF(J10&gt;0,"perte","égalité"))</x:f>
        <x:v>égalité</x:v>
      </x:c>
      <x:c r="M10" s="10" t="n">
        <x:v>1</x:v>
      </x:c>
      <x:c r="N10" s="10" t="n">
        <x:v>1</x:v>
      </x:c>
      <x:c r="O10" s="5" t="str">
        <x:v>S021</x:v>
      </x:c>
      <x:c r="P10" s="5" t="str">
        <x:v>S022</x:v>
      </x:c>
      <x:c r="Q10" s="5" t="str">
        <x:v>b6a01b9ee6ccc062a13431e716f18590241d5ce67a60a3734c2df16192c5051c</x:v>
      </x:c>
      <x:c r="R10" s="5" t="str">
        <x:v>d450308692b9d730242cea1fb0f616960373bd9534a0d19abb36026bfc80441a</x:v>
      </x:c>
    </x:row>
    <x:row r="11" ht="22" customHeight="1">
      <x:c r="A11" s="9" t="str">
        <x:v>broad/16202_00</x:v>
      </x:c>
      <x:c r="B11" s="9" t="str">
        <x:v>broad</x:v>
      </x:c>
      <x:c r="C11" s="9" t="str">
        <x:v>sphere/2</x:v>
      </x:c>
      <x:c r="D11" s="11" t="n">
        <x:v>16202</x:v>
      </x:c>
      <x:c r="E11" s="9" t="n">
        <x:v>0.025700152255694945</x:v>
      </x:c>
      <x:c r="F11" s="9" t="n">
        <x:v>0.08536972248712152</x:v>
      </x:c>
      <x:c r="G11" s="9" t="n">
        <x:f>F11-E11</x:f>
        <x:v>0.05966957023142658</x:v>
      </x:c>
      <x:c r="H11" s="9" t="n">
        <x:v>0.00014475630261457013</x:v>
      </x:c>
      <x:c r="I11" s="9" t="n">
        <x:v>0.0023398621912805308</x:v>
      </x:c>
      <x:c r="J11" s="9" t="n">
        <x:f>I11-H11</x:f>
        <x:v>0.0021951058886659604</x:v>
      </x:c>
      <x:c r="K11" s="9" t="str">
        <x:f>IF(G11&lt;0,"gain",IF(G11&gt;0,"perte","égalité"))</x:f>
        <x:v>perte</x:v>
      </x:c>
      <x:c r="L11" s="9" t="str">
        <x:f>IF(J11&lt;0,"gain",IF(J11&gt;0,"perte","égalité"))</x:f>
        <x:v>perte</x:v>
      </x:c>
      <x:c r="M11" s="11" t="n">
        <x:v>1</x:v>
      </x:c>
      <x:c r="N11" s="11" t="n">
        <x:v>1</x:v>
      </x:c>
      <x:c r="O11" s="9" t="str">
        <x:v>S023</x:v>
      </x:c>
      <x:c r="P11" s="9" t="str">
        <x:v>S024</x:v>
      </x:c>
      <x:c r="Q11" s="9" t="str">
        <x:v>12e0ee5ec33ab4de938d6e86fba3f5d98bbdd27c913412aaa10bd61932c8bcd4</x:v>
      </x:c>
      <x:c r="R11" s="9" t="str">
        <x:v>7f384abf3d3bd531718457c053a8d1dfbe78fa1e5683657f8285da02284dfd4f</x:v>
      </x:c>
    </x:row>
    <x:row r="12" ht="22" customHeight="1">
      <x:c r="A12" s="5" t="str">
        <x:v>broad/16203_00</x:v>
      </x:c>
      <x:c r="B12" s="5" t="str">
        <x:v>broad</x:v>
      </x:c>
      <x:c r="C12" s="5" t="str">
        <x:v>sphere/2</x:v>
      </x:c>
      <x:c r="D12" s="10" t="n">
        <x:v>16203</x:v>
      </x:c>
      <x:c r="E12" s="5" t="n">
        <x:v>0.008824864850268758</x:v>
      </x:c>
      <x:c r="F12" s="5" t="n">
        <x:v>0.05855792373404805</x:v>
      </x:c>
      <x:c r="G12" s="5" t="n">
        <x:f>F12-E12</x:f>
        <x:v>0.04973305888377929</x:v>
      </x:c>
      <x:c r="H12" s="5" t="n">
        <x:v>0.000285434181200721</x:v>
      </x:c>
      <x:c r="I12" s="5" t="n">
        <x:v>0.0025594450026128076</x:v>
      </x:c>
      <x:c r="J12" s="5" t="n">
        <x:f>I12-H12</x:f>
        <x:v>0.0022740108214120867</x:v>
      </x:c>
      <x:c r="K12" s="5" t="str">
        <x:f>IF(G12&lt;0,"gain",IF(G12&gt;0,"perte","égalité"))</x:f>
        <x:v>perte</x:v>
      </x:c>
      <x:c r="L12" s="5" t="str">
        <x:f>IF(J12&lt;0,"gain",IF(J12&gt;0,"perte","égalité"))</x:f>
        <x:v>perte</x:v>
      </x:c>
      <x:c r="M12" s="10" t="n">
        <x:v>1</x:v>
      </x:c>
      <x:c r="N12" s="10" t="n">
        <x:v>1</x:v>
      </x:c>
      <x:c r="O12" s="5" t="str">
        <x:v>S025</x:v>
      </x:c>
      <x:c r="P12" s="5" t="str">
        <x:v>S026</x:v>
      </x:c>
      <x:c r="Q12" s="5" t="str">
        <x:v>f2a4f910d79e87bab986ec3b9ec67a66a1d2a442c5ff8bb6a53ac7eb941bdc7d</x:v>
      </x:c>
      <x:c r="R12" s="5" t="str">
        <x:v>fcee0fb6749585f50e941226f818aea9f43bc93ad97c584464594c8a3ea8c248</x:v>
      </x:c>
    </x:row>
    <x:row r="13" ht="22" customHeight="1">
      <x:c r="A13" s="9" t="str">
        <x:v>broad/16204_00</x:v>
      </x:c>
      <x:c r="B13" s="9" t="str">
        <x:v>broad</x:v>
      </x:c>
      <x:c r="C13" s="9" t="str">
        <x:v>sphere/2</x:v>
      </x:c>
      <x:c r="D13" s="11" t="n">
        <x:v>16204</x:v>
      </x:c>
      <x:c r="E13" s="9" t="n">
        <x:v>0.13200558986148073</x:v>
      </x:c>
      <x:c r="F13" s="9" t="n">
        <x:v>0.04880592864947844</x:v>
      </x:c>
      <x:c r="G13" s="9" t="n">
        <x:f>F13-E13</x:f>
        <x:v>-0.08319966121200228</x:v>
      </x:c>
      <x:c r="H13" s="9" t="n">
        <x:v>0.0013338214641488671</x:v>
      </x:c>
      <x:c r="I13" s="9" t="n">
        <x:v>0.00003365260271045604</x:v>
      </x:c>
      <x:c r="J13" s="9" t="n">
        <x:f>I13-H13</x:f>
        <x:v>-0.001300168861438411</x:v>
      </x:c>
      <x:c r="K13" s="9" t="str">
        <x:f>IF(G13&lt;0,"gain",IF(G13&gt;0,"perte","égalité"))</x:f>
        <x:v>gain</x:v>
      </x:c>
      <x:c r="L13" s="9" t="str">
        <x:f>IF(J13&lt;0,"gain",IF(J13&gt;0,"perte","égalité"))</x:f>
        <x:v>gain</x:v>
      </x:c>
      <x:c r="M13" s="11" t="n">
        <x:v>1</x:v>
      </x:c>
      <x:c r="N13" s="11" t="n">
        <x:v>1</x:v>
      </x:c>
      <x:c r="O13" s="9" t="str">
        <x:v>S027</x:v>
      </x:c>
      <x:c r="P13" s="9" t="str">
        <x:v>S028</x:v>
      </x:c>
      <x:c r="Q13" s="9" t="str">
        <x:v>ce7cb6b19ca16fac6c164d67015d49a04a1d902749abe365d7b66c599fd5cb5f</x:v>
      </x:c>
      <x:c r="R13" s="9" t="str">
        <x:v>4582a968d69d10abd08b533a917e63282df5429b2e937bb8d26f03cee1861a45</x:v>
      </x:c>
    </x:row>
    <x:row r="14" ht="22" customHeight="1">
      <x:c r="A14" s="5" t="str">
        <x:v>central/16201_01</x:v>
      </x:c>
      <x:c r="B14" s="5" t="str">
        <x:v>central</x:v>
      </x:c>
      <x:c r="C14" s="5" t="str">
        <x:v>sphere/2</x:v>
      </x:c>
      <x:c r="D14" s="10" t="n">
        <x:v>16201</x:v>
      </x:c>
      <x:c r="E14" s="5" t="n">
        <x:v>0.32999513865417335</x:v>
      </x:c>
      <x:c r="F14" s="5" t="n">
        <x:v>0.018212377295327414</x:v>
      </x:c>
      <x:c r="G14" s="5" t="n">
        <x:f>F14-E14</x:f>
        <x:v>-0.3117827613588459</x:v>
      </x:c>
      <x:c r="H14" s="5" t="n">
        <x:v>0.0038997151799306296</x:v>
      </x:c>
      <x:c r="I14" s="5" t="n">
        <x:v>0.010846875353245114</x:v>
      </x:c>
      <x:c r="J14" s="5" t="n">
        <x:f>I14-H14</x:f>
        <x:v>0.006947160173314485</x:v>
      </x:c>
      <x:c r="K14" s="5" t="str">
        <x:f>IF(G14&lt;0,"gain",IF(G14&gt;0,"perte","égalité"))</x:f>
        <x:v>gain</x:v>
      </x:c>
      <x:c r="L14" s="5" t="str">
        <x:f>IF(J14&lt;0,"gain",IF(J14&gt;0,"perte","égalité"))</x:f>
        <x:v>perte</x:v>
      </x:c>
      <x:c r="M14" s="10" t="n">
        <x:v>1</x:v>
      </x:c>
      <x:c r="N14" s="10" t="n">
        <x:v>1</x:v>
      </x:c>
      <x:c r="O14" s="5" t="str">
        <x:v>S029</x:v>
      </x:c>
      <x:c r="P14" s="5" t="str">
        <x:v>S030</x:v>
      </x:c>
      <x:c r="Q14" s="5" t="str">
        <x:v>561a05dbe7594731d67a169101eeda32422f5f85af42e4973df540a2b255b269</x:v>
      </x:c>
      <x:c r="R14" s="5" t="str">
        <x:v>766a2c6a415aadeeafb9ee1c115e084226e08e64ff8d73920ad449561f7142cd</x:v>
      </x:c>
    </x:row>
    <x:row r="15" ht="22" customHeight="1">
      <x:c r="A15" s="9" t="str">
        <x:v>central/16202_01</x:v>
      </x:c>
      <x:c r="B15" s="9" t="str">
        <x:v>central</x:v>
      </x:c>
      <x:c r="C15" s="9" t="str">
        <x:v>sphere/2</x:v>
      </x:c>
      <x:c r="D15" s="11" t="n">
        <x:v>16202</x:v>
      </x:c>
      <x:c r="E15" s="9" t="n">
        <x:v>0.0759024509841096</x:v>
      </x:c>
      <x:c r="F15" s="9" t="n">
        <x:v>0.018100276765372205</x:v>
      </x:c>
      <x:c r="G15" s="9" t="n">
        <x:f>F15-E15</x:f>
        <x:v>-0.05780217421873739</x:v>
      </x:c>
      <x:c r="H15" s="9" t="n">
        <x:v>0.0002585554089814471</x:v>
      </x:c>
      <x:c r="I15" s="9" t="n">
        <x:v>0.01172921159407316</x:v>
      </x:c>
      <x:c r="J15" s="9" t="n">
        <x:f>I15-H15</x:f>
        <x:v>0.011470656185091714</x:v>
      </x:c>
      <x:c r="K15" s="9" t="str">
        <x:f>IF(G15&lt;0,"gain",IF(G15&gt;0,"perte","égalité"))</x:f>
        <x:v>gain</x:v>
      </x:c>
      <x:c r="L15" s="9" t="str">
        <x:f>IF(J15&lt;0,"gain",IF(J15&gt;0,"perte","égalité"))</x:f>
        <x:v>perte</x:v>
      </x:c>
      <x:c r="M15" s="11" t="n">
        <x:v>1</x:v>
      </x:c>
      <x:c r="N15" s="11" t="n">
        <x:v>1</x:v>
      </x:c>
      <x:c r="O15" s="9" t="str">
        <x:v>S031</x:v>
      </x:c>
      <x:c r="P15" s="9" t="str">
        <x:v>S032</x:v>
      </x:c>
      <x:c r="Q15" s="9" t="str">
        <x:v>afa98ae85f8d75565c5e82df5fc8a5afe22530bd2ff3d1377bac4e8532b40aa0</x:v>
      </x:c>
      <x:c r="R15" s="9" t="str">
        <x:v>9be90885ff084eab5c846eba3e5a07454219b4d9c6448007633c2aaf1cba1bc1</x:v>
      </x:c>
    </x:row>
    <x:row r="16" ht="22" customHeight="1">
      <x:c r="A16" s="5" t="str">
        <x:v>central/16203_01</x:v>
      </x:c>
      <x:c r="B16" s="5" t="str">
        <x:v>central</x:v>
      </x:c>
      <x:c r="C16" s="5" t="str">
        <x:v>sphere/2</x:v>
      </x:c>
      <x:c r="D16" s="10" t="n">
        <x:v>16203</x:v>
      </x:c>
      <x:c r="E16" s="5" t="n">
        <x:v>0.14702759620400294</x:v>
      </x:c>
      <x:c r="F16" s="5" t="n">
        <x:v>0.018144923294106188</x:v>
      </x:c>
      <x:c r="G16" s="5" t="n">
        <x:f>F16-E16</x:f>
        <x:v>-0.12888267290989674</x:v>
      </x:c>
      <x:c r="H16" s="5" t="n">
        <x:v>0.003046714179781414</x:v>
      </x:c>
      <x:c r="I16" s="5" t="n">
        <x:v>0.012758077874229884</x:v>
      </x:c>
      <x:c r="J16" s="5" t="n">
        <x:f>I16-H16</x:f>
        <x:v>0.00971136369444847</x:v>
      </x:c>
      <x:c r="K16" s="5" t="str">
        <x:f>IF(G16&lt;0,"gain",IF(G16&gt;0,"perte","égalité"))</x:f>
        <x:v>gain</x:v>
      </x:c>
      <x:c r="L16" s="5" t="str">
        <x:f>IF(J16&lt;0,"gain",IF(J16&gt;0,"perte","égalité"))</x:f>
        <x:v>perte</x:v>
      </x:c>
      <x:c r="M16" s="10" t="n">
        <x:v>1</x:v>
      </x:c>
      <x:c r="N16" s="10" t="n">
        <x:v>1</x:v>
      </x:c>
      <x:c r="O16" s="5" t="str">
        <x:v>S033</x:v>
      </x:c>
      <x:c r="P16" s="5" t="str">
        <x:v>S034</x:v>
      </x:c>
      <x:c r="Q16" s="5" t="str">
        <x:v>0b0ac6b47fcae415b18e547b9213c9351941231cf2825b5abde782f1ca20b1d9</x:v>
      </x:c>
      <x:c r="R16" s="5" t="str">
        <x:v>7c90da1182c4b6d495f34a7f210df39313040d6bf3f97a07f9869cf316d51aa3</x:v>
      </x:c>
    </x:row>
    <x:row r="17" ht="22" customHeight="1">
      <x:c r="A17" s="9" t="str">
        <x:v>central/16204_01</x:v>
      </x:c>
      <x:c r="B17" s="9" t="str">
        <x:v>central</x:v>
      </x:c>
      <x:c r="C17" s="9" t="str">
        <x:v>sphere/2</x:v>
      </x:c>
      <x:c r="D17" s="11" t="n">
        <x:v>16204</x:v>
      </x:c>
      <x:c r="E17" s="9" t="n">
        <x:v>0.05732196133195234</x:v>
      </x:c>
      <x:c r="F17" s="9" t="n">
        <x:v>0.017629942838003333</x:v>
      </x:c>
      <x:c r="G17" s="9" t="n">
        <x:f>F17-E17</x:f>
        <x:v>-0.039692018493949</x:v>
      </x:c>
      <x:c r="H17" s="9" t="n">
        <x:v>0.001222789027482535</x:v>
      </x:c>
      <x:c r="I17" s="9" t="n">
        <x:v>0.012759764604209996</x:v>
      </x:c>
      <x:c r="J17" s="9" t="n">
        <x:f>I17-H17</x:f>
        <x:v>0.01153697557672746</x:v>
      </x:c>
      <x:c r="K17" s="9" t="str">
        <x:f>IF(G17&lt;0,"gain",IF(G17&gt;0,"perte","égalité"))</x:f>
        <x:v>gain</x:v>
      </x:c>
      <x:c r="L17" s="9" t="str">
        <x:f>IF(J17&lt;0,"gain",IF(J17&gt;0,"perte","égalité"))</x:f>
        <x:v>perte</x:v>
      </x:c>
      <x:c r="M17" s="11" t="n">
        <x:v>1</x:v>
      </x:c>
      <x:c r="N17" s="11" t="n">
        <x:v>1</x:v>
      </x:c>
      <x:c r="O17" s="9" t="str">
        <x:v>S035</x:v>
      </x:c>
      <x:c r="P17" s="9" t="str">
        <x:v>S036</x:v>
      </x:c>
      <x:c r="Q17" s="9" t="str">
        <x:v>b16170f690a24aab2ce254b23b790541b9e255d091bd96e3c0c4e8a199870c8b</x:v>
      </x:c>
      <x:c r="R17" s="9" t="str">
        <x:v>123ed43bd381dd6611f2ed583e1819e625630c07ab2575edbe4549844b75f7a2</x:v>
      </x:c>
    </x:row>
    <x:row r="18" ht="22" customHeight="1">
      <x:c r="A18" s="5" t="str">
        <x:v>broad/16201_01</x:v>
      </x:c>
      <x:c r="B18" s="5" t="str">
        <x:v>broad</x:v>
      </x:c>
      <x:c r="C18" s="5" t="str">
        <x:v>sphere/2</x:v>
      </x:c>
      <x:c r="D18" s="10" t="n">
        <x:v>16201</x:v>
      </x:c>
      <x:c r="E18" s="5" t="n">
        <x:v>0.42083836687515375</x:v>
      </x:c>
      <x:c r="F18" s="5" t="n">
        <x:v>0.04728578884727952</x:v>
      </x:c>
      <x:c r="G18" s="5" t="n">
        <x:f>F18-E18</x:f>
        <x:v>-0.3735525780278742</x:v>
      </x:c>
      <x:c r="H18" s="5" t="n">
        <x:v>0.006902896001352526</x:v>
      </x:c>
      <x:c r="I18" s="5" t="n">
        <x:v>0.006370892006040388</x:v>
      </x:c>
      <x:c r="J18" s="5" t="n">
        <x:f>I18-H18</x:f>
        <x:v>-0.0005320039953121379</x:v>
      </x:c>
      <x:c r="K18" s="5" t="str">
        <x:f>IF(G18&lt;0,"gain",IF(G18&gt;0,"perte","égalité"))</x:f>
        <x:v>gain</x:v>
      </x:c>
      <x:c r="L18" s="5" t="str">
        <x:f>IF(J18&lt;0,"gain",IF(J18&gt;0,"perte","égalité"))</x:f>
        <x:v>gain</x:v>
      </x:c>
      <x:c r="M18" s="10" t="n">
        <x:v>1</x:v>
      </x:c>
      <x:c r="N18" s="10" t="n">
        <x:v>1</x:v>
      </x:c>
      <x:c r="O18" s="5" t="str">
        <x:v>S037</x:v>
      </x:c>
      <x:c r="P18" s="5" t="str">
        <x:v>S038</x:v>
      </x:c>
      <x:c r="Q18" s="5" t="str">
        <x:v>99d237d3b5f214a130153191b8dc8b597742553ee26e5f19239a04ebafa9437d</x:v>
      </x:c>
      <x:c r="R18" s="5" t="str">
        <x:v>4a128f5767227fd383b59d74e3c37944f2253198e771d08abeb1c38a76d69fd5</x:v>
      </x:c>
    </x:row>
    <x:row r="19" ht="22" customHeight="1">
      <x:c r="A19" s="9" t="str">
        <x:v>broad/16202_01</x:v>
      </x:c>
      <x:c r="B19" s="9" t="str">
        <x:v>broad</x:v>
      </x:c>
      <x:c r="C19" s="9" t="str">
        <x:v>sphere/2</x:v>
      </x:c>
      <x:c r="D19" s="11" t="n">
        <x:v>16202</x:v>
      </x:c>
      <x:c r="E19" s="9" t="n">
        <x:v>0.06941446954476341</x:v>
      </x:c>
      <x:c r="F19" s="9" t="n">
        <x:v>0.04092170242498075</x:v>
      </x:c>
      <x:c r="G19" s="9" t="n">
        <x:f>F19-E19</x:f>
        <x:v>-0.028492767119782658</x:v>
      </x:c>
      <x:c r="H19" s="9" t="n">
        <x:v>0.001994388047586819</x:v>
      </x:c>
      <x:c r="I19" s="9" t="n">
        <x:v>0.005257521454651965</x:v>
      </x:c>
      <x:c r="J19" s="9" t="n">
        <x:f>I19-H19</x:f>
        <x:v>0.0032631334070651456</x:v>
      </x:c>
      <x:c r="K19" s="9" t="str">
        <x:f>IF(G19&lt;0,"gain",IF(G19&gt;0,"perte","égalité"))</x:f>
        <x:v>gain</x:v>
      </x:c>
      <x:c r="L19" s="9" t="str">
        <x:f>IF(J19&lt;0,"gain",IF(J19&gt;0,"perte","égalité"))</x:f>
        <x:v>perte</x:v>
      </x:c>
      <x:c r="M19" s="11" t="n">
        <x:v>1</x:v>
      </x:c>
      <x:c r="N19" s="11" t="n">
        <x:v>1</x:v>
      </x:c>
      <x:c r="O19" s="9" t="str">
        <x:v>S039</x:v>
      </x:c>
      <x:c r="P19" s="9" t="str">
        <x:v>S040</x:v>
      </x:c>
      <x:c r="Q19" s="9" t="str">
        <x:v>c4d628527a96bc383fbe737141f531ed1c079291088ca55d3890060f03ad76f2</x:v>
      </x:c>
      <x:c r="R19" s="9" t="str">
        <x:v>1751ac1c5318c572344d311c1bfd6fb5da6393dbf14a6034651530956e72ba2a</x:v>
      </x:c>
    </x:row>
    <x:row r="20" ht="22" customHeight="1">
      <x:c r="A20" s="5" t="str">
        <x:v>broad/16203_01</x:v>
      </x:c>
      <x:c r="B20" s="5" t="str">
        <x:v>broad</x:v>
      </x:c>
      <x:c r="C20" s="5" t="str">
        <x:v>sphere/2</x:v>
      </x:c>
      <x:c r="D20" s="10" t="n">
        <x:v>16203</x:v>
      </x:c>
      <x:c r="E20" s="5" t="n">
        <x:v>0.0974168424328016</x:v>
      </x:c>
      <x:c r="F20" s="5" t="n">
        <x:v>0.03458402658440973</x:v>
      </x:c>
      <x:c r="G20" s="5" t="n">
        <x:f>F20-E20</x:f>
        <x:v>-0.06283281584839187</x:v>
      </x:c>
      <x:c r="H20" s="5" t="n">
        <x:v>0.007479850818679058</x:v>
      </x:c>
      <x:c r="I20" s="5" t="n">
        <x:v>0.004316175032243924</x:v>
      </x:c>
      <x:c r="J20" s="5" t="n">
        <x:f>I20-H20</x:f>
        <x:v>-0.0031636757864351344</x:v>
      </x:c>
      <x:c r="K20" s="5" t="str">
        <x:f>IF(G20&lt;0,"gain",IF(G20&gt;0,"perte","égalité"))</x:f>
        <x:v>gain</x:v>
      </x:c>
      <x:c r="L20" s="5" t="str">
        <x:f>IF(J20&lt;0,"gain",IF(J20&gt;0,"perte","égalité"))</x:f>
        <x:v>gain</x:v>
      </x:c>
      <x:c r="M20" s="10" t="n">
        <x:v>1</x:v>
      </x:c>
      <x:c r="N20" s="10" t="n">
        <x:v>1</x:v>
      </x:c>
      <x:c r="O20" s="5" t="str">
        <x:v>S041</x:v>
      </x:c>
      <x:c r="P20" s="5" t="str">
        <x:v>S042</x:v>
      </x:c>
      <x:c r="Q20" s="5" t="str">
        <x:v>624029ef63740216aa0da4a78ba4750e4544ad040503be91a383d2029394c857</x:v>
      </x:c>
      <x:c r="R20" s="5" t="str">
        <x:v>77faa4b717c5057311de75f4fd6b5bcb059630bd67854903139d6250dae51bdf</x:v>
      </x:c>
    </x:row>
    <x:row r="21" ht="22" customHeight="1">
      <x:c r="A21" s="9" t="str">
        <x:v>broad/16204_01</x:v>
      </x:c>
      <x:c r="B21" s="9" t="str">
        <x:v>broad</x:v>
      </x:c>
      <x:c r="C21" s="9" t="str">
        <x:v>sphere/2</x:v>
      </x:c>
      <x:c r="D21" s="11" t="n">
        <x:v>16204</x:v>
      </x:c>
      <x:c r="E21" s="9" t="n">
        <x:v>0.09328179632554359</x:v>
      </x:c>
      <x:c r="F21" s="9" t="n">
        <x:v>0.023259829102564727</x:v>
      </x:c>
      <x:c r="G21" s="9" t="n">
        <x:f>F21-E21</x:f>
        <x:v>-0.07002196722297886</x:v>
      </x:c>
      <x:c r="H21" s="9" t="n">
        <x:v>0.0027710680168100007</x:v>
      </x:c>
      <x:c r="I21" s="9" t="n">
        <x:v>0.0005826100246992148</x:v>
      </x:c>
      <x:c r="J21" s="9" t="n">
        <x:f>I21-H21</x:f>
        <x:v>-0.002188457992110786</x:v>
      </x:c>
      <x:c r="K21" s="9" t="str">
        <x:f>IF(G21&lt;0,"gain",IF(G21&gt;0,"perte","égalité"))</x:f>
        <x:v>gain</x:v>
      </x:c>
      <x:c r="L21" s="9" t="str">
        <x:f>IF(J21&lt;0,"gain",IF(J21&gt;0,"perte","égalité"))</x:f>
        <x:v>gain</x:v>
      </x:c>
      <x:c r="M21" s="11" t="n">
        <x:v>1</x:v>
      </x:c>
      <x:c r="N21" s="11" t="n">
        <x:v>1</x:v>
      </x:c>
      <x:c r="O21" s="9" t="str">
        <x:v>S043</x:v>
      </x:c>
      <x:c r="P21" s="9" t="str">
        <x:v>S044</x:v>
      </x:c>
      <x:c r="Q21" s="9" t="str">
        <x:v>0660654174ca56b7025f1d813f5f18d20dfe867365a253e078c7f3fc533285cb</x:v>
      </x:c>
      <x:c r="R21" s="9" t="str">
        <x:v>fdea113e72fd83f1db71c60db8f3cb13df2ff7f8ef3b3b018d2c4c8c4c92061d</x:v>
      </x:c>
    </x:row>
    <x:row r="22" ht="22" customHeight="1">
      <x:c r="A22" s="5" t="str">
        <x:v>central/16201_02</x:v>
      </x:c>
      <x:c r="B22" s="5" t="str">
        <x:v>central</x:v>
      </x:c>
      <x:c r="C22" s="5" t="str">
        <x:v>sphere/4</x:v>
      </x:c>
      <x:c r="D22" s="10" t="n">
        <x:v>16201</x:v>
      </x:c>
      <x:c r="E22" s="5" t="n">
        <x:v>0.5195081982215826</x:v>
      </x:c>
      <x:c r="F22" s="5" t="n">
        <x:v>0.00950463216632867</x:v>
      </x:c>
      <x:c r="G22" s="5" t="n">
        <x:f>F22-E22</x:f>
        <x:v>-0.5100035660552539</x:v>
      </x:c>
      <x:c r="H22" s="5" t="n">
        <x:v>0.025306224063766647</x:v>
      </x:c>
      <x:c r="I22" s="5" t="n">
        <x:v>0.00950463216632867</x:v>
      </x:c>
      <x:c r="J22" s="5" t="n">
        <x:f>I22-H22</x:f>
        <x:v>-0.015801591897437975</x:v>
      </x:c>
      <x:c r="K22" s="5" t="str">
        <x:f>IF(G22&lt;0,"gain",IF(G22&gt;0,"perte","égalité"))</x:f>
        <x:v>gain</x:v>
      </x:c>
      <x:c r="L22" s="5" t="str">
        <x:f>IF(J22&lt;0,"gain",IF(J22&gt;0,"perte","égalité"))</x:f>
        <x:v>gain</x:v>
      </x:c>
      <x:c r="M22" s="10" t="n">
        <x:v>1</x:v>
      </x:c>
      <x:c r="N22" s="10" t="n">
        <x:v>1</x:v>
      </x:c>
      <x:c r="O22" s="5" t="str">
        <x:v>S045</x:v>
      </x:c>
      <x:c r="P22" s="5" t="str">
        <x:v>S046</x:v>
      </x:c>
      <x:c r="Q22" s="5" t="str">
        <x:v>f4bd601f39505fb19913c9911dfb0cb006928206a55636d9fde2fe592e514339</x:v>
      </x:c>
      <x:c r="R22" s="5" t="str">
        <x:v>4889996d9653bead7e2c3122cbdf4239a1c817008da9c13bdb365ef980a9f136</x:v>
      </x:c>
    </x:row>
    <x:row r="23" ht="22" customHeight="1">
      <x:c r="A23" s="9" t="str">
        <x:v>central/16202_02</x:v>
      </x:c>
      <x:c r="B23" s="9" t="str">
        <x:v>central</x:v>
      </x:c>
      <x:c r="C23" s="9" t="str">
        <x:v>sphere/4</x:v>
      </x:c>
      <x:c r="D23" s="11" t="n">
        <x:v>16202</x:v>
      </x:c>
      <x:c r="E23" s="9" t="n">
        <x:v>0.24025485020274262</x:v>
      </x:c>
      <x:c r="F23" s="9" t="n">
        <x:v>0.00950463216632867</x:v>
      </x:c>
      <x:c r="G23" s="9" t="n">
        <x:f>F23-E23</x:f>
        <x:v>-0.23075021803641396</x:v>
      </x:c>
      <x:c r="H23" s="9" t="n">
        <x:v>0.13339394602083926</x:v>
      </x:c>
      <x:c r="I23" s="9" t="n">
        <x:v>0.00950463216632867</x:v>
      </x:c>
      <x:c r="J23" s="9" t="n">
        <x:f>I23-H23</x:f>
        <x:v>-0.12388931385451059</x:v>
      </x:c>
      <x:c r="K23" s="9" t="str">
        <x:f>IF(G23&lt;0,"gain",IF(G23&gt;0,"perte","égalité"))</x:f>
        <x:v>gain</x:v>
      </x:c>
      <x:c r="L23" s="9" t="str">
        <x:f>IF(J23&lt;0,"gain",IF(J23&gt;0,"perte","égalité"))</x:f>
        <x:v>gain</x:v>
      </x:c>
      <x:c r="M23" s="11" t="n">
        <x:v>1</x:v>
      </x:c>
      <x:c r="N23" s="11" t="n">
        <x:v>1</x:v>
      </x:c>
      <x:c r="O23" s="9" t="str">
        <x:v>S047</x:v>
      </x:c>
      <x:c r="P23" s="9" t="str">
        <x:v>S048</x:v>
      </x:c>
      <x:c r="Q23" s="9" t="str">
        <x:v>9fd2248817dce260a9c5d68588fdc08439bd7603cc7eb9b150d887e2d5927a17</x:v>
      </x:c>
      <x:c r="R23" s="9" t="str">
        <x:v>2e4f936769bcfeacabe25a636af67d0f09a8f86f253ea9188f5c14a843477943</x:v>
      </x:c>
    </x:row>
    <x:row r="24" ht="22" customHeight="1">
      <x:c r="A24" s="5" t="str">
        <x:v>central/16203_02</x:v>
      </x:c>
      <x:c r="B24" s="5" t="str">
        <x:v>central</x:v>
      </x:c>
      <x:c r="C24" s="5" t="str">
        <x:v>sphere/4</x:v>
      </x:c>
      <x:c r="D24" s="10" t="n">
        <x:v>16203</x:v>
      </x:c>
      <x:c r="E24" s="5" t="n">
        <x:v>0.6022836960124051</x:v>
      </x:c>
      <x:c r="F24" s="5" t="n">
        <x:v>0.00950463216632867</x:v>
      </x:c>
      <x:c r="G24" s="5" t="n">
        <x:f>F24-E24</x:f>
        <x:v>-0.5927790638460764</x:v>
      </x:c>
      <x:c r="H24" s="5" t="n">
        <x:v>0.1947047017156363</x:v>
      </x:c>
      <x:c r="I24" s="5" t="n">
        <x:v>0.00950463216632867</x:v>
      </x:c>
      <x:c r="J24" s="5" t="n">
        <x:f>I24-H24</x:f>
        <x:v>-0.18520006954930765</x:v>
      </x:c>
      <x:c r="K24" s="5" t="str">
        <x:f>IF(G24&lt;0,"gain",IF(G24&gt;0,"perte","égalité"))</x:f>
        <x:v>gain</x:v>
      </x:c>
      <x:c r="L24" s="5" t="str">
        <x:f>IF(J24&lt;0,"gain",IF(J24&gt;0,"perte","égalité"))</x:f>
        <x:v>gain</x:v>
      </x:c>
      <x:c r="M24" s="10" t="n">
        <x:v>1</x:v>
      </x:c>
      <x:c r="N24" s="10" t="n">
        <x:v>1</x:v>
      </x:c>
      <x:c r="O24" s="5" t="str">
        <x:v>S049</x:v>
      </x:c>
      <x:c r="P24" s="5" t="str">
        <x:v>S050</x:v>
      </x:c>
      <x:c r="Q24" s="5" t="str">
        <x:v>5ebe27caac8f2976da643b187d81604d0d442d29ade306aa95efe4c1913a632f</x:v>
      </x:c>
      <x:c r="R24" s="5" t="str">
        <x:v>d5a24316694bc08bb5a0fa68dbdac8e9226a711caee56674da90d23e3892df56</x:v>
      </x:c>
    </x:row>
    <x:row r="25" ht="22" customHeight="1">
      <x:c r="A25" s="9" t="str">
        <x:v>central/16204_02</x:v>
      </x:c>
      <x:c r="B25" s="9" t="str">
        <x:v>central</x:v>
      </x:c>
      <x:c r="C25" s="9" t="str">
        <x:v>sphere/4</x:v>
      </x:c>
      <x:c r="D25" s="11" t="n">
        <x:v>16204</x:v>
      </x:c>
      <x:c r="E25" s="9" t="n">
        <x:v>0.05896773437062526</x:v>
      </x:c>
      <x:c r="F25" s="9" t="n">
        <x:v>0.00950463216632867</x:v>
      </x:c>
      <x:c r="G25" s="9" t="n">
        <x:f>F25-E25</x:f>
        <x:v>-0.04946310220429659</x:v>
      </x:c>
      <x:c r="H25" s="9" t="n">
        <x:v>0.012047820776868817</x:v>
      </x:c>
      <x:c r="I25" s="9" t="n">
        <x:v>0.00950463216632867</x:v>
      </x:c>
      <x:c r="J25" s="9" t="n">
        <x:f>I25-H25</x:f>
        <x:v>-0.0025431886105401463</x:v>
      </x:c>
      <x:c r="K25" s="9" t="str">
        <x:f>IF(G25&lt;0,"gain",IF(G25&gt;0,"perte","égalité"))</x:f>
        <x:v>gain</x:v>
      </x:c>
      <x:c r="L25" s="9" t="str">
        <x:f>IF(J25&lt;0,"gain",IF(J25&gt;0,"perte","égalité"))</x:f>
        <x:v>gain</x:v>
      </x:c>
      <x:c r="M25" s="11" t="n">
        <x:v>1</x:v>
      </x:c>
      <x:c r="N25" s="11" t="n">
        <x:v>1</x:v>
      </x:c>
      <x:c r="O25" s="9" t="str">
        <x:v>S051</x:v>
      </x:c>
      <x:c r="P25" s="9" t="str">
        <x:v>S052</x:v>
      </x:c>
      <x:c r="Q25" s="9" t="str">
        <x:v>bf4ea6ec20705479a6b5bda8990e9323384f82892d21df23ec49c16181e4ba93</x:v>
      </x:c>
      <x:c r="R25" s="9" t="str">
        <x:v>1fd401621521c6e1760989456bc8773d54b48a5e82db8b4e52465afd23d67a1e</x:v>
      </x:c>
    </x:row>
    <x:row r="26" ht="22" customHeight="1">
      <x:c r="A26" s="5" t="str">
        <x:v>broad/16201_02</x:v>
      </x:c>
      <x:c r="B26" s="5" t="str">
        <x:v>broad</x:v>
      </x:c>
      <x:c r="C26" s="5" t="str">
        <x:v>sphere/4</x:v>
      </x:c>
      <x:c r="D26" s="10" t="n">
        <x:v>16201</x:v>
      </x:c>
      <x:c r="E26" s="5" t="n">
        <x:v>0.594708433583445</x:v>
      </x:c>
      <x:c r="F26" s="5" t="n">
        <x:v>0.04529440323194525</x:v>
      </x:c>
      <x:c r="G26" s="5" t="n">
        <x:f>F26-E26</x:f>
        <x:v>-0.5494140303514998</x:v>
      </x:c>
      <x:c r="H26" s="5" t="n">
        <x:v>0.026744294936922562</x:v>
      </x:c>
      <x:c r="I26" s="5" t="n">
        <x:v>0.04529440323194525</x:v>
      </x:c>
      <x:c r="J26" s="5" t="n">
        <x:f>I26-H26</x:f>
        <x:v>0.01855010829502269</x:v>
      </x:c>
      <x:c r="K26" s="5" t="str">
        <x:f>IF(G26&lt;0,"gain",IF(G26&gt;0,"perte","égalité"))</x:f>
        <x:v>gain</x:v>
      </x:c>
      <x:c r="L26" s="5" t="str">
        <x:f>IF(J26&lt;0,"gain",IF(J26&gt;0,"perte","égalité"))</x:f>
        <x:v>perte</x:v>
      </x:c>
      <x:c r="M26" s="10" t="n">
        <x:v>1</x:v>
      </x:c>
      <x:c r="N26" s="10" t="n">
        <x:v>1</x:v>
      </x:c>
      <x:c r="O26" s="5" t="str">
        <x:v>S053</x:v>
      </x:c>
      <x:c r="P26" s="5" t="str">
        <x:v>S054</x:v>
      </x:c>
      <x:c r="Q26" s="5" t="str">
        <x:v>24b5fc076243aa835a5896a9a3c92267f9aff68dff74656fef2d0d44ac1bb8c1</x:v>
      </x:c>
      <x:c r="R26" s="5" t="str">
        <x:v>d8c692fd4476ef9e6beef4e30aeb94011d2d76683c98018311b00142ce8d26df</x:v>
      </x:c>
    </x:row>
    <x:row r="27" ht="22" customHeight="1">
      <x:c r="A27" s="9" t="str">
        <x:v>broad/16202_02</x:v>
      </x:c>
      <x:c r="B27" s="9" t="str">
        <x:v>broad</x:v>
      </x:c>
      <x:c r="C27" s="9" t="str">
        <x:v>sphere/4</x:v>
      </x:c>
      <x:c r="D27" s="11" t="n">
        <x:v>16202</x:v>
      </x:c>
      <x:c r="E27" s="9" t="n">
        <x:v>0.1616189510018216</x:v>
      </x:c>
      <x:c r="F27" s="9" t="n">
        <x:v>0.04529440323194525</x:v>
      </x:c>
      <x:c r="G27" s="9" t="n">
        <x:f>F27-E27</x:f>
        <x:v>-0.11632454776987636</x:v>
      </x:c>
      <x:c r="H27" s="9" t="n">
        <x:v>0.06883073527291178</x:v>
      </x:c>
      <x:c r="I27" s="9" t="n">
        <x:v>0.04529440323194525</x:v>
      </x:c>
      <x:c r="J27" s="9" t="n">
        <x:f>I27-H27</x:f>
        <x:v>-0.02353633204096653</x:v>
      </x:c>
      <x:c r="K27" s="9" t="str">
        <x:f>IF(G27&lt;0,"gain",IF(G27&gt;0,"perte","égalité"))</x:f>
        <x:v>gain</x:v>
      </x:c>
      <x:c r="L27" s="9" t="str">
        <x:f>IF(J27&lt;0,"gain",IF(J27&gt;0,"perte","égalité"))</x:f>
        <x:v>gain</x:v>
      </x:c>
      <x:c r="M27" s="11" t="n">
        <x:v>1</x:v>
      </x:c>
      <x:c r="N27" s="11" t="n">
        <x:v>1</x:v>
      </x:c>
      <x:c r="O27" s="9" t="str">
        <x:v>S055</x:v>
      </x:c>
      <x:c r="P27" s="9" t="str">
        <x:v>S056</x:v>
      </x:c>
      <x:c r="Q27" s="9" t="str">
        <x:v>39ff521c4b34dbdfd4998793bb6dc0130430880433b759bfa67c5bf6e8e76cd8</x:v>
      </x:c>
      <x:c r="R27" s="9" t="str">
        <x:v>e9589644c01ff44c0425f38ab4bb3f0dfc5ec02967075f5ad30b6f367a3478dc</x:v>
      </x:c>
    </x:row>
    <x:row r="28" ht="22" customHeight="1">
      <x:c r="A28" s="5" t="str">
        <x:v>broad/16203_02</x:v>
      </x:c>
      <x:c r="B28" s="5" t="str">
        <x:v>broad</x:v>
      </x:c>
      <x:c r="C28" s="5" t="str">
        <x:v>sphere/4</x:v>
      </x:c>
      <x:c r="D28" s="10" t="n">
        <x:v>16203</x:v>
      </x:c>
      <x:c r="E28" s="5" t="n">
        <x:v>0.44922097360814456</x:v>
      </x:c>
      <x:c r="F28" s="5" t="n">
        <x:v>0.04529440323194525</x:v>
      </x:c>
      <x:c r="G28" s="5" t="n">
        <x:f>F28-E28</x:f>
        <x:v>-0.4039265703761993</x:v>
      </x:c>
      <x:c r="H28" s="5" t="n">
        <x:v>0.11651896849452173</x:v>
      </x:c>
      <x:c r="I28" s="5" t="n">
        <x:v>0.04529440323194525</x:v>
      </x:c>
      <x:c r="J28" s="5" t="n">
        <x:f>I28-H28</x:f>
        <x:v>-0.07122456526257648</x:v>
      </x:c>
      <x:c r="K28" s="5" t="str">
        <x:f>IF(G28&lt;0,"gain",IF(G28&gt;0,"perte","égalité"))</x:f>
        <x:v>gain</x:v>
      </x:c>
      <x:c r="L28" s="5" t="str">
        <x:f>IF(J28&lt;0,"gain",IF(J28&gt;0,"perte","égalité"))</x:f>
        <x:v>gain</x:v>
      </x:c>
      <x:c r="M28" s="10" t="n">
        <x:v>1</x:v>
      </x:c>
      <x:c r="N28" s="10" t="n">
        <x:v>1</x:v>
      </x:c>
      <x:c r="O28" s="5" t="str">
        <x:v>S057</x:v>
      </x:c>
      <x:c r="P28" s="5" t="str">
        <x:v>S058</x:v>
      </x:c>
      <x:c r="Q28" s="5" t="str">
        <x:v>4ff048c25509ceba4c8d87b3cf206363c47b0d3639792bce1db9c05ace74fee1</x:v>
      </x:c>
      <x:c r="R28" s="5" t="str">
        <x:v>8a5ae442a38645b9d791c3b6b86cde3be8d7a8ac546d3add0cd206311d57b113</x:v>
      </x:c>
    </x:row>
    <x:row r="29" ht="22" customHeight="1">
      <x:c r="A29" s="9" t="str">
        <x:v>broad/16204_02</x:v>
      </x:c>
      <x:c r="B29" s="9" t="str">
        <x:v>broad</x:v>
      </x:c>
      <x:c r="C29" s="9" t="str">
        <x:v>sphere/4</x:v>
      </x:c>
      <x:c r="D29" s="11" t="n">
        <x:v>16204</x:v>
      </x:c>
      <x:c r="E29" s="9" t="n">
        <x:v>0.06585858661052625</x:v>
      </x:c>
      <x:c r="F29" s="9" t="n">
        <x:v>0.04529440323194525</x:v>
      </x:c>
      <x:c r="G29" s="9" t="n">
        <x:f>F29-E29</x:f>
        <x:v>-0.020564183378581</x:v>
      </x:c>
      <x:c r="H29" s="9" t="n">
        <x:v>0.01006247140710807</x:v>
      </x:c>
      <x:c r="I29" s="9" t="n">
        <x:v>0.04529440323194525</x:v>
      </x:c>
      <x:c r="J29" s="9" t="n">
        <x:f>I29-H29</x:f>
        <x:v>0.03523193182483718</x:v>
      </x:c>
      <x:c r="K29" s="9" t="str">
        <x:f>IF(G29&lt;0,"gain",IF(G29&gt;0,"perte","égalité"))</x:f>
        <x:v>gain</x:v>
      </x:c>
      <x:c r="L29" s="9" t="str">
        <x:f>IF(J29&lt;0,"gain",IF(J29&gt;0,"perte","égalité"))</x:f>
        <x:v>perte</x:v>
      </x:c>
      <x:c r="M29" s="11" t="n">
        <x:v>1</x:v>
      </x:c>
      <x:c r="N29" s="11" t="n">
        <x:v>1</x:v>
      </x:c>
      <x:c r="O29" s="9" t="str">
        <x:v>S059</x:v>
      </x:c>
      <x:c r="P29" s="9" t="str">
        <x:v>S060</x:v>
      </x:c>
      <x:c r="Q29" s="9" t="str">
        <x:v>c858409b45a6cb88999d7d278c49ec5f836b1d0e61b993d25b496da263c9a672</x:v>
      </x:c>
      <x:c r="R29" s="9" t="str">
        <x:v>09adc1dd761070abd1900e921848a8b2eeaa14f1a18c06d6233d83f35ded7b55</x:v>
      </x:c>
    </x:row>
    <x:row r="30" ht="22" customHeight="1">
      <x:c r="A30" s="5" t="str">
        <x:v>central/16201_03</x:v>
      </x:c>
      <x:c r="B30" s="5" t="str">
        <x:v>central</x:v>
      </x:c>
      <x:c r="C30" s="5" t="str">
        <x:v>sphere/4</x:v>
      </x:c>
      <x:c r="D30" s="10" t="n">
        <x:v>16201</x:v>
      </x:c>
      <x:c r="E30" s="5" t="n">
        <x:v>0.27696867736722447</x:v>
      </x:c>
      <x:c r="F30" s="5" t="n">
        <x:v>0.035282710047734395</x:v>
      </x:c>
      <x:c r="G30" s="5" t="n">
        <x:f>F30-E30</x:f>
        <x:v>-0.24168596731949007</x:v>
      </x:c>
      <x:c r="H30" s="5" t="n">
        <x:v>0.10606432859938097</x:v>
      </x:c>
      <x:c r="I30" s="5" t="n">
        <x:v>0.008269928143102262</x:v>
      </x:c>
      <x:c r="J30" s="5" t="n">
        <x:f>I30-H30</x:f>
        <x:v>-0.09779440045627871</x:v>
      </x:c>
      <x:c r="K30" s="5" t="str">
        <x:f>IF(G30&lt;0,"gain",IF(G30&gt;0,"perte","égalité"))</x:f>
        <x:v>gain</x:v>
      </x:c>
      <x:c r="L30" s="5" t="str">
        <x:f>IF(J30&lt;0,"gain",IF(J30&gt;0,"perte","égalité"))</x:f>
        <x:v>gain</x:v>
      </x:c>
      <x:c r="M30" s="10" t="n">
        <x:v>1</x:v>
      </x:c>
      <x:c r="N30" s="10" t="n">
        <x:v>1</x:v>
      </x:c>
      <x:c r="O30" s="5" t="str">
        <x:v>S061</x:v>
      </x:c>
      <x:c r="P30" s="5" t="str">
        <x:v>S062</x:v>
      </x:c>
      <x:c r="Q30" s="5" t="str">
        <x:v>aee1e1a8ecf32b6dc51a13ee7aa065a914b9352532cc96d152ba4dff228152f3</x:v>
      </x:c>
      <x:c r="R30" s="5" t="str">
        <x:v>1a170743013f7d05828143c5a5ad0a40e79d673319910a516c4623ae6cdb2ad3</x:v>
      </x:c>
    </x:row>
    <x:row r="31" ht="22" customHeight="1">
      <x:c r="A31" s="9" t="str">
        <x:v>central/16202_03</x:v>
      </x:c>
      <x:c r="B31" s="9" t="str">
        <x:v>central</x:v>
      </x:c>
      <x:c r="C31" s="9" t="str">
        <x:v>sphere/4</x:v>
      </x:c>
      <x:c r="D31" s="11" t="n">
        <x:v>16202</x:v>
      </x:c>
      <x:c r="E31" s="9" t="n">
        <x:v>0.13023370527291794</x:v>
      </x:c>
      <x:c r="F31" s="9" t="n">
        <x:v>0.031145912787718742</x:v>
      </x:c>
      <x:c r="G31" s="9" t="n">
        <x:f>F31-E31</x:f>
        <x:v>-0.0990877924851992</x:v>
      </x:c>
      <x:c r="H31" s="9" t="n">
        <x:v>0.01653168866949115</x:v>
      </x:c>
      <x:c r="I31" s="9" t="n">
        <x:v>0.009716509995571719</x:v>
      </x:c>
      <x:c r="J31" s="9" t="n">
        <x:f>I31-H31</x:f>
        <x:v>-0.0068151786739194305</x:v>
      </x:c>
      <x:c r="K31" s="9" t="str">
        <x:f>IF(G31&lt;0,"gain",IF(G31&gt;0,"perte","égalité"))</x:f>
        <x:v>gain</x:v>
      </x:c>
      <x:c r="L31" s="9" t="str">
        <x:f>IF(J31&lt;0,"gain",IF(J31&gt;0,"perte","égalité"))</x:f>
        <x:v>gain</x:v>
      </x:c>
      <x:c r="M31" s="11" t="n">
        <x:v>1</x:v>
      </x:c>
      <x:c r="N31" s="11" t="n">
        <x:v>1</x:v>
      </x:c>
      <x:c r="O31" s="9" t="str">
        <x:v>S063</x:v>
      </x:c>
      <x:c r="P31" s="9" t="str">
        <x:v>S064</x:v>
      </x:c>
      <x:c r="Q31" s="9" t="str">
        <x:v>ca5fc0c4b478f4a258b216d8b9c1814825259326c5021d4d1f7c3e290e7b091a</x:v>
      </x:c>
      <x:c r="R31" s="9" t="str">
        <x:v>2c4700f9a4ba8607f1a74aeda064c56d0a707aca73021b4cc540ceff779aa838</x:v>
      </x:c>
    </x:row>
    <x:row r="32" ht="22" customHeight="1">
      <x:c r="A32" s="5" t="str">
        <x:v>central/16203_03</x:v>
      </x:c>
      <x:c r="B32" s="5" t="str">
        <x:v>central</x:v>
      </x:c>
      <x:c r="C32" s="5" t="str">
        <x:v>sphere/4</x:v>
      </x:c>
      <x:c r="D32" s="10" t="n">
        <x:v>16203</x:v>
      </x:c>
      <x:c r="E32" s="5" t="n">
        <x:v>0.5842900799599813</x:v>
      </x:c>
      <x:c r="F32" s="5" t="n">
        <x:v>0.027481334444805706</x:v>
      </x:c>
      <x:c r="G32" s="5" t="n">
        <x:f>F32-E32</x:f>
        <x:v>-0.5568087455151756</x:v>
      </x:c>
      <x:c r="H32" s="5" t="n">
        <x:v>0.07639552738735043</x:v>
      </x:c>
      <x:c r="I32" s="5" t="n">
        <x:v>0.011584396732259963</x:v>
      </x:c>
      <x:c r="J32" s="5" t="n">
        <x:f>I32-H32</x:f>
        <x:v>-0.06481113065509048</x:v>
      </x:c>
      <x:c r="K32" s="5" t="str">
        <x:f>IF(G32&lt;0,"gain",IF(G32&gt;0,"perte","égalité"))</x:f>
        <x:v>gain</x:v>
      </x:c>
      <x:c r="L32" s="5" t="str">
        <x:f>IF(J32&lt;0,"gain",IF(J32&gt;0,"perte","égalité"))</x:f>
        <x:v>gain</x:v>
      </x:c>
      <x:c r="M32" s="10" t="n">
        <x:v>1</x:v>
      </x:c>
      <x:c r="N32" s="10" t="n">
        <x:v>1</x:v>
      </x:c>
      <x:c r="O32" s="5" t="str">
        <x:v>S065</x:v>
      </x:c>
      <x:c r="P32" s="5" t="str">
        <x:v>S066</x:v>
      </x:c>
      <x:c r="Q32" s="5" t="str">
        <x:v>f4a295ffacd713f5365cb6f8ce4fc3a6a895e0191ae181e0ed08017cc6eb4dba</x:v>
      </x:c>
      <x:c r="R32" s="5" t="str">
        <x:v>a76e3c7e6d4de71144fa10e741f260794b3d7f873a005794ffcaf1064e201ddd</x:v>
      </x:c>
    </x:row>
    <x:row r="33" ht="22" customHeight="1">
      <x:c r="A33" s="9" t="str">
        <x:v>central/16204_03</x:v>
      </x:c>
      <x:c r="B33" s="9" t="str">
        <x:v>central</x:v>
      </x:c>
      <x:c r="C33" s="9" t="str">
        <x:v>sphere/4</x:v>
      </x:c>
      <x:c r="D33" s="11" t="n">
        <x:v>16204</x:v>
      </x:c>
      <x:c r="E33" s="9" t="n">
        <x:v>0.14224819177329742</x:v>
      </x:c>
      <x:c r="F33" s="9" t="n">
        <x:v>0.024415617943457427</x:v>
      </x:c>
      <x:c r="G33" s="9" t="n">
        <x:f>F33-E33</x:f>
        <x:v>-0.11783257382984</x:v>
      </x:c>
      <x:c r="H33" s="9" t="n">
        <x:v>0.11087379158184023</x:v>
      </x:c>
      <x:c r="I33" s="9" t="n">
        <x:v>0.013966543650838064</x:v>
      </x:c>
      <x:c r="J33" s="9" t="n">
        <x:f>I33-H33</x:f>
        <x:v>-0.09690724793100217</x:v>
      </x:c>
      <x:c r="K33" s="9" t="str">
        <x:f>IF(G33&lt;0,"gain",IF(G33&gt;0,"perte","égalité"))</x:f>
        <x:v>gain</x:v>
      </x:c>
      <x:c r="L33" s="9" t="str">
        <x:f>IF(J33&lt;0,"gain",IF(J33&gt;0,"perte","égalité"))</x:f>
        <x:v>gain</x:v>
      </x:c>
      <x:c r="M33" s="11" t="n">
        <x:v>1</x:v>
      </x:c>
      <x:c r="N33" s="11" t="n">
        <x:v>1</x:v>
      </x:c>
      <x:c r="O33" s="9" t="str">
        <x:v>S067</x:v>
      </x:c>
      <x:c r="P33" s="9" t="str">
        <x:v>S068</x:v>
      </x:c>
      <x:c r="Q33" s="9" t="str">
        <x:v>f3c3eab967966dd5fd12bb2a6e120e260c584f19174263c960b148201ac19b2e</x:v>
      </x:c>
      <x:c r="R33" s="9" t="str">
        <x:v>0b987cab5914ef4f77b781528fadf90d6e7c4e155a6f0c88f61c1d30a4380f6e</x:v>
      </x:c>
    </x:row>
    <x:row r="34" ht="22" customHeight="1">
      <x:c r="A34" s="5" t="str">
        <x:v>broad/16201_03</x:v>
      </x:c>
      <x:c r="B34" s="5" t="str">
        <x:v>broad</x:v>
      </x:c>
      <x:c r="C34" s="5" t="str">
        <x:v>sphere/4</x:v>
      </x:c>
      <x:c r="D34" s="10" t="n">
        <x:v>16201</x:v>
      </x:c>
      <x:c r="E34" s="5" t="n">
        <x:v>0.1842215805752264</x:v>
      </x:c>
      <x:c r="F34" s="5" t="n">
        <x:v>0.14238288143685343</x:v>
      </x:c>
      <x:c r="G34" s="5" t="n">
        <x:f>F34-E34</x:f>
        <x:v>-0.04183869913837296</x:v>
      </x:c>
      <x:c r="H34" s="5" t="n">
        <x:v>0.01634261540190642</x:v>
      </x:c>
      <x:c r="I34" s="5" t="n">
        <x:v>0.025253658506493994</x:v>
      </x:c>
      <x:c r="J34" s="5" t="n">
        <x:f>I34-H34</x:f>
        <x:v>0.008911043104587575</x:v>
      </x:c>
      <x:c r="K34" s="5" t="str">
        <x:f>IF(G34&lt;0,"gain",IF(G34&gt;0,"perte","égalité"))</x:f>
        <x:v>gain</x:v>
      </x:c>
      <x:c r="L34" s="5" t="str">
        <x:f>IF(J34&lt;0,"gain",IF(J34&gt;0,"perte","égalité"))</x:f>
        <x:v>perte</x:v>
      </x:c>
      <x:c r="M34" s="10" t="n">
        <x:v>1</x:v>
      </x:c>
      <x:c r="N34" s="10" t="n">
        <x:v>1</x:v>
      </x:c>
      <x:c r="O34" s="5" t="str">
        <x:v>S069</x:v>
      </x:c>
      <x:c r="P34" s="5" t="str">
        <x:v>S070</x:v>
      </x:c>
      <x:c r="Q34" s="5" t="str">
        <x:v>80760c0d52927ef56e4a86df85d89d8e44f353baaba4895d56db6d4cf620301c</x:v>
      </x:c>
      <x:c r="R34" s="5" t="str">
        <x:v>24539c24bf34d165ef112627746c6e125d0ace27ed23a720188e9e9552539800</x:v>
      </x:c>
    </x:row>
    <x:row r="35" ht="22" customHeight="1">
      <x:c r="A35" s="9" t="str">
        <x:v>broad/16202_03</x:v>
      </x:c>
      <x:c r="B35" s="9" t="str">
        <x:v>broad</x:v>
      </x:c>
      <x:c r="C35" s="9" t="str">
        <x:v>sphere/4</x:v>
      </x:c>
      <x:c r="D35" s="11" t="n">
        <x:v>16202</x:v>
      </x:c>
      <x:c r="E35" s="9" t="n">
        <x:v>0.08582677513784011</x:v>
      </x:c>
      <x:c r="F35" s="9" t="n">
        <x:v>0.11953049847273077</x:v>
      </x:c>
      <x:c r="G35" s="9" t="n">
        <x:f>F35-E35</x:f>
        <x:v>0.03370372333489066</x:v>
      </x:c>
      <x:c r="H35" s="9" t="n">
        <x:v>0.01808273221528607</x:v>
      </x:c>
      <x:c r="I35" s="9" t="n">
        <x:v>0.04149533659105906</x:v>
      </x:c>
      <x:c r="J35" s="9" t="n">
        <x:f>I35-H35</x:f>
        <x:v>0.023412604375772986</x:v>
      </x:c>
      <x:c r="K35" s="9" t="str">
        <x:f>IF(G35&lt;0,"gain",IF(G35&gt;0,"perte","égalité"))</x:f>
        <x:v>perte</x:v>
      </x:c>
      <x:c r="L35" s="9" t="str">
        <x:f>IF(J35&lt;0,"gain",IF(J35&gt;0,"perte","égalité"))</x:f>
        <x:v>perte</x:v>
      </x:c>
      <x:c r="M35" s="11" t="n">
        <x:v>1</x:v>
      </x:c>
      <x:c r="N35" s="11" t="n">
        <x:v>1</x:v>
      </x:c>
      <x:c r="O35" s="9" t="str">
        <x:v>S071</x:v>
      </x:c>
      <x:c r="P35" s="9" t="str">
        <x:v>S072</x:v>
      </x:c>
      <x:c r="Q35" s="9" t="str">
        <x:v>c55d60d29710684c2bbe76cebb44443684b278da28fd2caa062a50c0959b600a</x:v>
      </x:c>
      <x:c r="R35" s="9" t="str">
        <x:v>62f3200b1ec864eabed51a37e84ab8540272eee7c8a83f80a019c01cdd74d2ec</x:v>
      </x:c>
    </x:row>
    <x:row r="36" ht="22" customHeight="1">
      <x:c r="A36" s="5" t="str">
        <x:v>broad/16203_03</x:v>
      </x:c>
      <x:c r="B36" s="5" t="str">
        <x:v>broad</x:v>
      </x:c>
      <x:c r="C36" s="5" t="str">
        <x:v>sphere/4</x:v>
      </x:c>
      <x:c r="D36" s="10" t="n">
        <x:v>16203</x:v>
      </x:c>
      <x:c r="E36" s="5" t="n">
        <x:v>0.5784385535501826</x:v>
      </x:c>
      <x:c r="F36" s="5" t="n">
        <x:v>0.09776180035315521</x:v>
      </x:c>
      <x:c r="G36" s="5" t="n">
        <x:f>F36-E36</x:f>
        <x:v>-0.4806767531970274</x:v>
      </x:c>
      <x:c r="H36" s="5" t="n">
        <x:v>0.02591483384791812</x:v>
      </x:c>
      <x:c r="I36" s="5" t="n">
        <x:v>0.018806478657506717</x:v>
      </x:c>
      <x:c r="J36" s="5" t="n">
        <x:f>I36-H36</x:f>
        <x:v>-0.007108355190411402</x:v>
      </x:c>
      <x:c r="K36" s="5" t="str">
        <x:f>IF(G36&lt;0,"gain",IF(G36&gt;0,"perte","égalité"))</x:f>
        <x:v>gain</x:v>
      </x:c>
      <x:c r="L36" s="5" t="str">
        <x:f>IF(J36&lt;0,"gain",IF(J36&gt;0,"perte","égalité"))</x:f>
        <x:v>gain</x:v>
      </x:c>
      <x:c r="M36" s="10" t="n">
        <x:v>1</x:v>
      </x:c>
      <x:c r="N36" s="10" t="n">
        <x:v>1</x:v>
      </x:c>
      <x:c r="O36" s="5" t="str">
        <x:v>S073</x:v>
      </x:c>
      <x:c r="P36" s="5" t="str">
        <x:v>S074</x:v>
      </x:c>
      <x:c r="Q36" s="5" t="str">
        <x:v>e28e7f4d278888e4499b4d007289f10564fc7da9b91ee2f05cd19d31300c5cc4</x:v>
      </x:c>
      <x:c r="R36" s="5" t="str">
        <x:v>f802f1262a1bed05ec47f8c15b399791900c046641450310695da4d9554339d6</x:v>
      </x:c>
    </x:row>
    <x:row r="37" ht="22" customHeight="1">
      <x:c r="A37" s="9" t="str">
        <x:v>broad/16204_03</x:v>
      </x:c>
      <x:c r="B37" s="9" t="str">
        <x:v>broad</x:v>
      </x:c>
      <x:c r="C37" s="9" t="str">
        <x:v>sphere/4</x:v>
      </x:c>
      <x:c r="D37" s="11" t="n">
        <x:v>16204</x:v>
      </x:c>
      <x:c r="E37" s="9" t="n">
        <x:v>0.08050394112311925</x:v>
      </x:c>
      <x:c r="F37" s="9" t="n">
        <x:v>0.08154303938230245</x:v>
      </x:c>
      <x:c r="G37" s="9" t="n">
        <x:f>F37-E37</x:f>
        <x:v>0.0010390982591832049</x:v>
      </x:c>
      <x:c r="H37" s="9" t="n">
        <x:v>0.026282794846672</x:v>
      </x:c>
      <x:c r="I37" s="9" t="n">
        <x:v>0.018990906847988362</x:v>
      </x:c>
      <x:c r="J37" s="9" t="n">
        <x:f>I37-H37</x:f>
        <x:v>-0.00729188799868364</x:v>
      </x:c>
      <x:c r="K37" s="9" t="str">
        <x:f>IF(G37&lt;0,"gain",IF(G37&gt;0,"perte","égalité"))</x:f>
        <x:v>perte</x:v>
      </x:c>
      <x:c r="L37" s="9" t="str">
        <x:f>IF(J37&lt;0,"gain",IF(J37&gt;0,"perte","égalité"))</x:f>
        <x:v>gain</x:v>
      </x:c>
      <x:c r="M37" s="11" t="n">
        <x:v>1</x:v>
      </x:c>
      <x:c r="N37" s="11" t="n">
        <x:v>1</x:v>
      </x:c>
      <x:c r="O37" s="9" t="str">
        <x:v>S075</x:v>
      </x:c>
      <x:c r="P37" s="9" t="str">
        <x:v>S076</x:v>
      </x:c>
      <x:c r="Q37" s="9" t="str">
        <x:v>840acac8adbbe079e45837300f6ef51fa7683cc036cc2b1fdbf64f4c669fac17</x:v>
      </x:c>
      <x:c r="R37" s="9" t="str">
        <x:v>59e4cda70c538e0cc4e446ad4a53333eb57fab22ec768243d85f803f9a54b856</x:v>
      </x:c>
    </x:row>
    <x:row r="38" ht="22" customHeight="1">
      <x:c r="A38" s="5" t="str">
        <x:v>central/16201_04</x:v>
      </x:c>
      <x:c r="B38" s="5" t="str">
        <x:v>central</x:v>
      </x:c>
      <x:c r="C38" s="5" t="str">
        <x:v>quadratic/2</x:v>
      </x:c>
      <x:c r="D38" s="10" t="n">
        <x:v>16201</x:v>
      </x:c>
      <x:c r="E38" s="5" t="n">
        <x:v>0.24467405814486068</x:v>
      </x:c>
      <x:c r="F38" s="5" t="n">
        <x:v>0.022131671878861125</x:v>
      </x:c>
      <x:c r="G38" s="5" t="n">
        <x:f>F38-E38</x:f>
        <x:v>-0.22254238626599956</x:v>
      </x:c>
      <x:c r="H38" s="5" t="n">
        <x:v>0.0008744926362507721</x:v>
      </x:c>
      <x:c r="I38" s="5" t="n">
        <x:v>0.0019904746306615034</x:v>
      </x:c>
      <x:c r="J38" s="5" t="n">
        <x:f>I38-H38</x:f>
        <x:v>0.0011159819944107313</x:v>
      </x:c>
      <x:c r="K38" s="5" t="str">
        <x:f>IF(G38&lt;0,"gain",IF(G38&gt;0,"perte","égalité"))</x:f>
        <x:v>gain</x:v>
      </x:c>
      <x:c r="L38" s="5" t="str">
        <x:f>IF(J38&lt;0,"gain",IF(J38&gt;0,"perte","égalité"))</x:f>
        <x:v>perte</x:v>
      </x:c>
      <x:c r="M38" s="10" t="n">
        <x:v>1</x:v>
      </x:c>
      <x:c r="N38" s="10" t="n">
        <x:v>1</x:v>
      </x:c>
      <x:c r="O38" s="5" t="str">
        <x:v>S077</x:v>
      </x:c>
      <x:c r="P38" s="5" t="str">
        <x:v>S078</x:v>
      </x:c>
      <x:c r="Q38" s="5" t="str">
        <x:v>f5119124d84ca2aa80310ca6aaf7db76b64309006d54c5c158339fa2815b5c95</x:v>
      </x:c>
      <x:c r="R38" s="5" t="str">
        <x:v>09b8fd3cea2123215227849667dea8c9fa00666ad3e9b625296c7e070fed67b0</x:v>
      </x:c>
    </x:row>
    <x:row r="39" ht="22" customHeight="1">
      <x:c r="A39" s="9" t="str">
        <x:v>central/16202_04</x:v>
      </x:c>
      <x:c r="B39" s="9" t="str">
        <x:v>central</x:v>
      </x:c>
      <x:c r="C39" s="9" t="str">
        <x:v>quadratic/2</x:v>
      </x:c>
      <x:c r="D39" s="11" t="n">
        <x:v>16202</x:v>
      </x:c>
      <x:c r="E39" s="9" t="n">
        <x:v>0.009419206216234322</x:v>
      </x:c>
      <x:c r="F39" s="9" t="n">
        <x:v>0.022799483804370593</x:v>
      </x:c>
      <x:c r="G39" s="9" t="n">
        <x:f>F39-E39</x:f>
        <x:v>0.013380277588136272</x:v>
      </x:c>
      <x:c r="H39" s="9" t="n">
        <x:v>0.0005806513497088426</x:v>
      </x:c>
      <x:c r="I39" s="9" t="n">
        <x:v>0.014526561836009857</x:v>
      </x:c>
      <x:c r="J39" s="9" t="n">
        <x:f>I39-H39</x:f>
        <x:v>0.013945910486301014</x:v>
      </x:c>
      <x:c r="K39" s="9" t="str">
        <x:f>IF(G39&lt;0,"gain",IF(G39&gt;0,"perte","égalité"))</x:f>
        <x:v>perte</x:v>
      </x:c>
      <x:c r="L39" s="9" t="str">
        <x:f>IF(J39&lt;0,"gain",IF(J39&gt;0,"perte","égalité"))</x:f>
        <x:v>perte</x:v>
      </x:c>
      <x:c r="M39" s="11" t="n">
        <x:v>1</x:v>
      </x:c>
      <x:c r="N39" s="11" t="n">
        <x:v>1</x:v>
      </x:c>
      <x:c r="O39" s="9" t="str">
        <x:v>S079</x:v>
      </x:c>
      <x:c r="P39" s="9" t="str">
        <x:v>S080</x:v>
      </x:c>
      <x:c r="Q39" s="9" t="str">
        <x:v>ee24dbacdd19e18679beeec7e7212464521310b869816b4e7343c2dd68b57027</x:v>
      </x:c>
      <x:c r="R39" s="9" t="str">
        <x:v>5444b1cd6be60cea13d25f399be6cfb9646c5fb15b3a980a36d3e62f815c1eb8</x:v>
      </x:c>
    </x:row>
    <x:row r="40" ht="22" customHeight="1">
      <x:c r="A40" s="5" t="str">
        <x:v>central/16203_04</x:v>
      </x:c>
      <x:c r="B40" s="5" t="str">
        <x:v>central</x:v>
      </x:c>
      <x:c r="C40" s="5" t="str">
        <x:v>quadratic/2</x:v>
      </x:c>
      <x:c r="D40" s="10" t="n">
        <x:v>16203</x:v>
      </x:c>
      <x:c r="E40" s="5" t="n">
        <x:v>0.10041357507705174</x:v>
      </x:c>
      <x:c r="F40" s="5" t="n">
        <x:v>0.02286580413393512</x:v>
      </x:c>
      <x:c r="G40" s="5" t="n">
        <x:f>F40-E40</x:f>
        <x:v>-0.07754777094311663</x:v>
      </x:c>
      <x:c r="H40" s="5" t="n">
        <x:v>0.00006356581019706119</x:v>
      </x:c>
      <x:c r="I40" s="5" t="n">
        <x:v>0.018478483645577193</x:v>
      </x:c>
      <x:c r="J40" s="5" t="n">
        <x:f>I40-H40</x:f>
        <x:v>0.018414917835380133</x:v>
      </x:c>
      <x:c r="K40" s="5" t="str">
        <x:f>IF(G40&lt;0,"gain",IF(G40&gt;0,"perte","égalité"))</x:f>
        <x:v>gain</x:v>
      </x:c>
      <x:c r="L40" s="5" t="str">
        <x:f>IF(J40&lt;0,"gain",IF(J40&gt;0,"perte","égalité"))</x:f>
        <x:v>perte</x:v>
      </x:c>
      <x:c r="M40" s="10" t="n">
        <x:v>1</x:v>
      </x:c>
      <x:c r="N40" s="10" t="n">
        <x:v>1</x:v>
      </x:c>
      <x:c r="O40" s="5" t="str">
        <x:v>S081</x:v>
      </x:c>
      <x:c r="P40" s="5" t="str">
        <x:v>S082</x:v>
      </x:c>
      <x:c r="Q40" s="5" t="str">
        <x:v>7af69347f4c910dc30b10045bf07cf7ec32c1dce51a1463e2f7682ff45866b28</x:v>
      </x:c>
      <x:c r="R40" s="5" t="str">
        <x:v>66df52fffa6265a101b01983a71bb20b6f95d8c5ce1a033c9db2ae68f53cdbbe</x:v>
      </x:c>
    </x:row>
    <x:row r="41" ht="22" customHeight="1">
      <x:c r="A41" s="9" t="str">
        <x:v>central/16204_04</x:v>
      </x:c>
      <x:c r="B41" s="9" t="str">
        <x:v>central</x:v>
      </x:c>
      <x:c r="C41" s="9" t="str">
        <x:v>quadratic/2</x:v>
      </x:c>
      <x:c r="D41" s="11" t="n">
        <x:v>16204</x:v>
      </x:c>
      <x:c r="E41" s="9" t="n">
        <x:v>0.07227313958632538</x:v>
      </x:c>
      <x:c r="F41" s="9" t="n">
        <x:v>0.02061067882213983</x:v>
      </x:c>
      <x:c r="G41" s="9" t="n">
        <x:f>F41-E41</x:f>
        <x:v>-0.05166246076418555</x:v>
      </x:c>
      <x:c r="H41" s="9" t="n">
        <x:v>0.005487809034464951</x:v>
      </x:c>
      <x:c r="I41" s="9" t="n">
        <x:v>0.0033473187269845435</x:v>
      </x:c>
      <x:c r="J41" s="9" t="n">
        <x:f>I41-H41</x:f>
        <x:v>-0.002140490307480407</x:v>
      </x:c>
      <x:c r="K41" s="9" t="str">
        <x:f>IF(G41&lt;0,"gain",IF(G41&gt;0,"perte","égalité"))</x:f>
        <x:v>gain</x:v>
      </x:c>
      <x:c r="L41" s="9" t="str">
        <x:f>IF(J41&lt;0,"gain",IF(J41&gt;0,"perte","égalité"))</x:f>
        <x:v>gain</x:v>
      </x:c>
      <x:c r="M41" s="11" t="n">
        <x:v>1</x:v>
      </x:c>
      <x:c r="N41" s="11" t="n">
        <x:v>1</x:v>
      </x:c>
      <x:c r="O41" s="9" t="str">
        <x:v>S083</x:v>
      </x:c>
      <x:c r="P41" s="9" t="str">
        <x:v>S084</x:v>
      </x:c>
      <x:c r="Q41" s="9" t="str">
        <x:v>b2b898446d64afad8a5b972a64683517ab2c1441de256cc482861c1930a0b86b</x:v>
      </x:c>
      <x:c r="R41" s="9" t="str">
        <x:v>af1f56d14441d7b171e6a7cdeb390beff21b6822035ab9243b29131eb14ce162</x:v>
      </x:c>
    </x:row>
    <x:row r="42" ht="22" customHeight="1">
      <x:c r="A42" s="5" t="str">
        <x:v>broad/16201_04</x:v>
      </x:c>
      <x:c r="B42" s="5" t="str">
        <x:v>broad</x:v>
      </x:c>
      <x:c r="C42" s="5" t="str">
        <x:v>quadratic/2</x:v>
      </x:c>
      <x:c r="D42" s="10" t="n">
        <x:v>16201</x:v>
      </x:c>
      <x:c r="E42" s="5" t="n">
        <x:v>0.18393034666228825</x:v>
      </x:c>
      <x:c r="F42" s="5" t="n">
        <x:v>0.047111873049584634</x:v>
      </x:c>
      <x:c r="G42" s="5" t="n">
        <x:f>F42-E42</x:f>
        <x:v>-0.1368184736127036</x:v>
      </x:c>
      <x:c r="H42" s="5" t="n">
        <x:v>0.00010839496465408168</x:v>
      </x:c>
      <x:c r="I42" s="5" t="n">
        <x:v>0.0004112613323870805</x:v>
      </x:c>
      <x:c r="J42" s="5" t="n">
        <x:f>I42-H42</x:f>
        <x:v>0.00030286636773299883</x:v>
      </x:c>
      <x:c r="K42" s="5" t="str">
        <x:f>IF(G42&lt;0,"gain",IF(G42&gt;0,"perte","égalité"))</x:f>
        <x:v>gain</x:v>
      </x:c>
      <x:c r="L42" s="5" t="str">
        <x:f>IF(J42&lt;0,"gain",IF(J42&gt;0,"perte","égalité"))</x:f>
        <x:v>perte</x:v>
      </x:c>
      <x:c r="M42" s="10" t="n">
        <x:v>1</x:v>
      </x:c>
      <x:c r="N42" s="10" t="n">
        <x:v>1</x:v>
      </x:c>
      <x:c r="O42" s="5" t="str">
        <x:v>S085</x:v>
      </x:c>
      <x:c r="P42" s="5" t="str">
        <x:v>S086</x:v>
      </x:c>
      <x:c r="Q42" s="5" t="str">
        <x:v>5b2eaeb741ae6bb0f2be07cd6284287cf522d8e196a4590e5c7934a8e79f80c0</x:v>
      </x:c>
      <x:c r="R42" s="5" t="str">
        <x:v>a8e37c4149a37db7b8ad135ebd34b89032c20d5451ca4031b4c5aee33231965f</x:v>
      </x:c>
    </x:row>
    <x:row r="43" ht="22" customHeight="1">
      <x:c r="A43" s="9" t="str">
        <x:v>broad/16202_04</x:v>
      </x:c>
      <x:c r="B43" s="9" t="str">
        <x:v>broad</x:v>
      </x:c>
      <x:c r="C43" s="9" t="str">
        <x:v>quadratic/2</x:v>
      </x:c>
      <x:c r="D43" s="11" t="n">
        <x:v>16202</x:v>
      </x:c>
      <x:c r="E43" s="9" t="n">
        <x:v>0.005543957301343238</x:v>
      </x:c>
      <x:c r="F43" s="9" t="n">
        <x:v>0.03555615502798085</x:v>
      </x:c>
      <x:c r="G43" s="9" t="n">
        <x:f>F43-E43</x:f>
        <x:v>0.030012197726637616</x:v>
      </x:c>
      <x:c r="H43" s="9" t="n">
        <x:v>0.00047350899050423216</x:v>
      </x:c>
      <x:c r="I43" s="9" t="n">
        <x:v>0.0010382772003761371</x:v>
      </x:c>
      <x:c r="J43" s="9" t="n">
        <x:f>I43-H43</x:f>
        <x:v>0.000564768209871905</x:v>
      </x:c>
      <x:c r="K43" s="9" t="str">
        <x:f>IF(G43&lt;0,"gain",IF(G43&gt;0,"perte","égalité"))</x:f>
        <x:v>perte</x:v>
      </x:c>
      <x:c r="L43" s="9" t="str">
        <x:f>IF(J43&lt;0,"gain",IF(J43&gt;0,"perte","égalité"))</x:f>
        <x:v>perte</x:v>
      </x:c>
      <x:c r="M43" s="11" t="n">
        <x:v>1</x:v>
      </x:c>
      <x:c r="N43" s="11" t="n">
        <x:v>1</x:v>
      </x:c>
      <x:c r="O43" s="9" t="str">
        <x:v>S087</x:v>
      </x:c>
      <x:c r="P43" s="9" t="str">
        <x:v>S088</x:v>
      </x:c>
      <x:c r="Q43" s="9" t="str">
        <x:v>09297980c60381f2783e3c2ade2effb795c1ddea06e44d4945cdae762b05c574</x:v>
      </x:c>
      <x:c r="R43" s="9" t="str">
        <x:v>5cf694b1c91f1ceb4d4d44df9620cb7ce121a0604168b14ce4d1ae87e0764331</x:v>
      </x:c>
    </x:row>
    <x:row r="44" ht="22" customHeight="1">
      <x:c r="A44" s="5" t="str">
        <x:v>broad/16203_04</x:v>
      </x:c>
      <x:c r="B44" s="5" t="str">
        <x:v>broad</x:v>
      </x:c>
      <x:c r="C44" s="5" t="str">
        <x:v>quadratic/2</x:v>
      </x:c>
      <x:c r="D44" s="10" t="n">
        <x:v>16203</x:v>
      </x:c>
      <x:c r="E44" s="5" t="n">
        <x:v>0.023680829384458885</x:v>
      </x:c>
      <x:c r="F44" s="5" t="n">
        <x:v>0.023204261199943583</x:v>
      </x:c>
      <x:c r="G44" s="5" t="n">
        <x:f>F44-E44</x:f>
        <x:v>-0.0004765681845153025</x:v>
      </x:c>
      <x:c r="H44" s="5" t="n">
        <x:v>0.0003942501065317896</x:v>
      </x:c>
      <x:c r="I44" s="5" t="n">
        <x:v>0.0004211699474518585</x:v>
      </x:c>
      <x:c r="J44" s="5" t="n">
        <x:f>I44-H44</x:f>
        <x:v>0.000026919840920068907</x:v>
      </x:c>
      <x:c r="K44" s="5" t="str">
        <x:f>IF(G44&lt;0,"gain",IF(G44&gt;0,"perte","égalité"))</x:f>
        <x:v>gain</x:v>
      </x:c>
      <x:c r="L44" s="5" t="str">
        <x:f>IF(J44&lt;0,"gain",IF(J44&gt;0,"perte","égalité"))</x:f>
        <x:v>perte</x:v>
      </x:c>
      <x:c r="M44" s="10" t="n">
        <x:v>1</x:v>
      </x:c>
      <x:c r="N44" s="10" t="n">
        <x:v>1</x:v>
      </x:c>
      <x:c r="O44" s="5" t="str">
        <x:v>S089</x:v>
      </x:c>
      <x:c r="P44" s="5" t="str">
        <x:v>S090</x:v>
      </x:c>
      <x:c r="Q44" s="5" t="str">
        <x:v>fe753658e8c6f98ffb3b909c31eec7a0cb65c11bcee8d2717d11c38f81488789</x:v>
      </x:c>
      <x:c r="R44" s="5" t="str">
        <x:v>945cefac7d6e5ba2d33c877bfb4cecd50da79fd1ab4e71d631150d2045d248aa</x:v>
      </x:c>
    </x:row>
    <x:row r="45" ht="22" customHeight="1">
      <x:c r="A45" s="9" t="str">
        <x:v>broad/16204_04</x:v>
      </x:c>
      <x:c r="B45" s="9" t="str">
        <x:v>broad</x:v>
      </x:c>
      <x:c r="C45" s="9" t="str">
        <x:v>quadratic/2</x:v>
      </x:c>
      <x:c r="D45" s="11" t="n">
        <x:v>16204</x:v>
      </x:c>
      <x:c r="E45" s="9" t="n">
        <x:v>0.08256896173513811</x:v>
      </x:c>
      <x:c r="F45" s="9" t="n">
        <x:v>0.03818314638405296</x:v>
      </x:c>
      <x:c r="G45" s="9" t="n">
        <x:f>F45-E45</x:f>
        <x:v>-0.044385815351085156</x:v>
      </x:c>
      <x:c r="H45" s="9" t="n">
        <x:v>0.00008405517279105704</x:v>
      </x:c>
      <x:c r="I45" s="9" t="n">
        <x:v>0.00071413976535654</x:v>
      </x:c>
      <x:c r="J45" s="9" t="n">
        <x:f>I45-H45</x:f>
        <x:v>0.000630084592565483</x:v>
      </x:c>
      <x:c r="K45" s="9" t="str">
        <x:f>IF(G45&lt;0,"gain",IF(G45&gt;0,"perte","égalité"))</x:f>
        <x:v>gain</x:v>
      </x:c>
      <x:c r="L45" s="9" t="str">
        <x:f>IF(J45&lt;0,"gain",IF(J45&gt;0,"perte","égalité"))</x:f>
        <x:v>perte</x:v>
      </x:c>
      <x:c r="M45" s="11" t="n">
        <x:v>1</x:v>
      </x:c>
      <x:c r="N45" s="11" t="n">
        <x:v>1</x:v>
      </x:c>
      <x:c r="O45" s="9" t="str">
        <x:v>S091</x:v>
      </x:c>
      <x:c r="P45" s="9" t="str">
        <x:v>S092</x:v>
      </x:c>
      <x:c r="Q45" s="9" t="str">
        <x:v>4ee774f4630a93eff5901c7442a6150dcfdeed76832eb4a467d0d689b45ce4a3</x:v>
      </x:c>
      <x:c r="R45" s="9" t="str">
        <x:v>7d80ef7744eb2b96917acecf64d61e8c367cc357c10641db29d5be02c8701a86</x:v>
      </x:c>
    </x:row>
    <x:row r="46" ht="22" customHeight="1">
      <x:c r="A46" s="5" t="str">
        <x:v>central/16201_05</x:v>
      </x:c>
      <x:c r="B46" s="5" t="str">
        <x:v>central</x:v>
      </x:c>
      <x:c r="C46" s="5" t="str">
        <x:v>quadratic/2</x:v>
      </x:c>
      <x:c r="D46" s="10" t="n">
        <x:v>16201</x:v>
      </x:c>
      <x:c r="E46" s="5" t="n">
        <x:v>0.7036724179589832</x:v>
      </x:c>
      <x:c r="F46" s="5" t="n">
        <x:v>0.0005652208828309134</x:v>
      </x:c>
      <x:c r="G46" s="5" t="n">
        <x:f>F46-E46</x:f>
        <x:v>-0.7031071970761522</x:v>
      </x:c>
      <x:c r="H46" s="5" t="n">
        <x:v>0.006265936327305731</x:v>
      </x:c>
      <x:c r="I46" s="5" t="n">
        <x:v>0.0005652208828309134</x:v>
      </x:c>
      <x:c r="J46" s="5" t="n">
        <x:f>I46-H46</x:f>
        <x:v>-0.0057007154444748175</x:v>
      </x:c>
      <x:c r="K46" s="5" t="str">
        <x:f>IF(G46&lt;0,"gain",IF(G46&gt;0,"perte","égalité"))</x:f>
        <x:v>gain</x:v>
      </x:c>
      <x:c r="L46" s="5" t="str">
        <x:f>IF(J46&lt;0,"gain",IF(J46&gt;0,"perte","égalité"))</x:f>
        <x:v>gain</x:v>
      </x:c>
      <x:c r="M46" s="10" t="n">
        <x:v>1</x:v>
      </x:c>
      <x:c r="N46" s="10" t="n">
        <x:v>1</x:v>
      </x:c>
      <x:c r="O46" s="5" t="str">
        <x:v>S093</x:v>
      </x:c>
      <x:c r="P46" s="5" t="str">
        <x:v>S094</x:v>
      </x:c>
      <x:c r="Q46" s="5" t="str">
        <x:v>6629d77adcc6c5802f27bbf414a9aa5aa67c544c0e8704cee7e485d16d36180e</x:v>
      </x:c>
      <x:c r="R46" s="5" t="str">
        <x:v>fd45f5db43a9e6eaf02af4e0fc2ee47d6a7fc9e3df1be0acda185ebf50d4986a</x:v>
      </x:c>
    </x:row>
    <x:row r="47" ht="22" customHeight="1">
      <x:c r="A47" s="9" t="str">
        <x:v>central/16202_05</x:v>
      </x:c>
      <x:c r="B47" s="9" t="str">
        <x:v>central</x:v>
      </x:c>
      <x:c r="C47" s="9" t="str">
        <x:v>quadratic/2</x:v>
      </x:c>
      <x:c r="D47" s="11" t="n">
        <x:v>16202</x:v>
      </x:c>
      <x:c r="E47" s="9" t="n">
        <x:v>0.17183046106657096</x:v>
      </x:c>
      <x:c r="F47" s="9" t="n">
        <x:v>0.0005652208828309134</x:v>
      </x:c>
      <x:c r="G47" s="9" t="n">
        <x:f>F47-E47</x:f>
        <x:v>-0.17126524018374004</x:v>
      </x:c>
      <x:c r="H47" s="9" t="n">
        <x:v>0.0012964201694390589</x:v>
      </x:c>
      <x:c r="I47" s="9" t="n">
        <x:v>0.0005652208828309134</x:v>
      </x:c>
      <x:c r="J47" s="9" t="n">
        <x:f>I47-H47</x:f>
        <x:v>-0.0007311992866081455</x:v>
      </x:c>
      <x:c r="K47" s="9" t="str">
        <x:f>IF(G47&lt;0,"gain",IF(G47&gt;0,"perte","égalité"))</x:f>
        <x:v>gain</x:v>
      </x:c>
      <x:c r="L47" s="9" t="str">
        <x:f>IF(J47&lt;0,"gain",IF(J47&gt;0,"perte","égalité"))</x:f>
        <x:v>gain</x:v>
      </x:c>
      <x:c r="M47" s="11" t="n">
        <x:v>1</x:v>
      </x:c>
      <x:c r="N47" s="11" t="n">
        <x:v>1</x:v>
      </x:c>
      <x:c r="O47" s="9" t="str">
        <x:v>S095</x:v>
      </x:c>
      <x:c r="P47" s="9" t="str">
        <x:v>S096</x:v>
      </x:c>
      <x:c r="Q47" s="9" t="str">
        <x:v>72ffa22b051ae93cd457f92e792a906eebf974e3ac3f3a2c2e90595d56607eb3</x:v>
      </x:c>
      <x:c r="R47" s="9" t="str">
        <x:v>5be099a1e1490a74dc702fe3bbd9e4bac2844f78265d3d98e5cc15037a5b4f57</x:v>
      </x:c>
    </x:row>
    <x:row r="48" ht="22" customHeight="1">
      <x:c r="A48" s="5" t="str">
        <x:v>central/16203_05</x:v>
      </x:c>
      <x:c r="B48" s="5" t="str">
        <x:v>central</x:v>
      </x:c>
      <x:c r="C48" s="5" t="str">
        <x:v>quadratic/2</x:v>
      </x:c>
      <x:c r="D48" s="10" t="n">
        <x:v>16203</x:v>
      </x:c>
      <x:c r="E48" s="5" t="n">
        <x:v>0.08274129728688122</x:v>
      </x:c>
      <x:c r="F48" s="5" t="n">
        <x:v>0.0005652208828309134</x:v>
      </x:c>
      <x:c r="G48" s="5" t="n">
        <x:f>F48-E48</x:f>
        <x:v>-0.08217607640405031</x:v>
      </x:c>
      <x:c r="H48" s="5" t="n">
        <x:v>0.0012964201694390589</x:v>
      </x:c>
      <x:c r="I48" s="5" t="n">
        <x:v>0.0005652208828309134</x:v>
      </x:c>
      <x:c r="J48" s="5" t="n">
        <x:f>I48-H48</x:f>
        <x:v>-0.0007311992866081455</x:v>
      </x:c>
      <x:c r="K48" s="5" t="str">
        <x:f>IF(G48&lt;0,"gain",IF(G48&gt;0,"perte","égalité"))</x:f>
        <x:v>gain</x:v>
      </x:c>
      <x:c r="L48" s="5" t="str">
        <x:f>IF(J48&lt;0,"gain",IF(J48&gt;0,"perte","égalité"))</x:f>
        <x:v>gain</x:v>
      </x:c>
      <x:c r="M48" s="10" t="n">
        <x:v>1</x:v>
      </x:c>
      <x:c r="N48" s="10" t="n">
        <x:v>1</x:v>
      </x:c>
      <x:c r="O48" s="5" t="str">
        <x:v>S097</x:v>
      </x:c>
      <x:c r="P48" s="5" t="str">
        <x:v>S098</x:v>
      </x:c>
      <x:c r="Q48" s="5" t="str">
        <x:v>c4a82fa926002fcef6e921ba7a0a9ee73b484ca92abaca444eccdaaf5466d36e</x:v>
      </x:c>
      <x:c r="R48" s="5" t="str">
        <x:v>09d8b19bf74fa36b7e2eb4e1aa4de7e578f34741a5c3184c26d0b1b4cd6eddb3</x:v>
      </x:c>
    </x:row>
    <x:row r="49" ht="22" customHeight="1">
      <x:c r="A49" s="9" t="str">
        <x:v>central/16204_05</x:v>
      </x:c>
      <x:c r="B49" s="9" t="str">
        <x:v>central</x:v>
      </x:c>
      <x:c r="C49" s="9" t="str">
        <x:v>quadratic/2</x:v>
      </x:c>
      <x:c r="D49" s="11" t="n">
        <x:v>16204</x:v>
      </x:c>
      <x:c r="E49" s="9" t="n">
        <x:v>0.0195217466923726</x:v>
      </x:c>
      <x:c r="F49" s="9" t="n">
        <x:v>0.0005652208828309134</x:v>
      </x:c>
      <x:c r="G49" s="9" t="n">
        <x:f>F49-E49</x:f>
        <x:v>-0.018956525809541686</x:v>
      </x:c>
      <x:c r="H49" s="9" t="n">
        <x:v>0.0012964201694390589</x:v>
      </x:c>
      <x:c r="I49" s="9" t="n">
        <x:v>0.0005652208828309134</x:v>
      </x:c>
      <x:c r="J49" s="9" t="n">
        <x:f>I49-H49</x:f>
        <x:v>-0.0007311992866081455</x:v>
      </x:c>
      <x:c r="K49" s="9" t="str">
        <x:f>IF(G49&lt;0,"gain",IF(G49&gt;0,"perte","égalité"))</x:f>
        <x:v>gain</x:v>
      </x:c>
      <x:c r="L49" s="9" t="str">
        <x:f>IF(J49&lt;0,"gain",IF(J49&gt;0,"perte","égalité"))</x:f>
        <x:v>gain</x:v>
      </x:c>
      <x:c r="M49" s="11" t="n">
        <x:v>1</x:v>
      </x:c>
      <x:c r="N49" s="11" t="n">
        <x:v>1</x:v>
      </x:c>
      <x:c r="O49" s="9" t="str">
        <x:v>S099</x:v>
      </x:c>
      <x:c r="P49" s="9" t="str">
        <x:v>S100</x:v>
      </x:c>
      <x:c r="Q49" s="9" t="str">
        <x:v>300df9ebafea0c6f71ab2eb25d4175eeb7b507400f397e31d2137d6595c77df2</x:v>
      </x:c>
      <x:c r="R49" s="9" t="str">
        <x:v>f3e54cb6fec52d5758b0c414caf71797c720fc0e91428ca7a79ffc19217a3fa2</x:v>
      </x:c>
    </x:row>
    <x:row r="50" ht="22" customHeight="1">
      <x:c r="A50" s="5" t="str">
        <x:v>broad/16201_05</x:v>
      </x:c>
      <x:c r="B50" s="5" t="str">
        <x:v>broad</x:v>
      </x:c>
      <x:c r="C50" s="5" t="str">
        <x:v>quadratic/2</x:v>
      </x:c>
      <x:c r="D50" s="10" t="n">
        <x:v>16201</x:v>
      </x:c>
      <x:c r="E50" s="5" t="n">
        <x:v>0.6312592170847818</x:v>
      </x:c>
      <x:c r="F50" s="5" t="n">
        <x:v>0.0025857750679087158</x:v>
      </x:c>
      <x:c r="G50" s="5" t="n">
        <x:f>F50-E50</x:f>
        <x:v>-0.6286734420168731</x:v>
      </x:c>
      <x:c r="H50" s="5" t="n">
        <x:v>0.0007437818935281684</x:v>
      </x:c>
      <x:c r="I50" s="5" t="n">
        <x:v>0.002556249397840368</x:v>
      </x:c>
      <x:c r="J50" s="5" t="n">
        <x:f>I50-H50</x:f>
        <x:v>0.0018124675043121995</x:v>
      </x:c>
      <x:c r="K50" s="5" t="str">
        <x:f>IF(G50&lt;0,"gain",IF(G50&gt;0,"perte","égalité"))</x:f>
        <x:v>gain</x:v>
      </x:c>
      <x:c r="L50" s="5" t="str">
        <x:f>IF(J50&lt;0,"gain",IF(J50&gt;0,"perte","égalité"))</x:f>
        <x:v>perte</x:v>
      </x:c>
      <x:c r="M50" s="10" t="n">
        <x:v>1</x:v>
      </x:c>
      <x:c r="N50" s="10" t="n">
        <x:v>1</x:v>
      </x:c>
      <x:c r="O50" s="5" t="str">
        <x:v>S101</x:v>
      </x:c>
      <x:c r="P50" s="5" t="str">
        <x:v>S102</x:v>
      </x:c>
      <x:c r="Q50" s="5" t="str">
        <x:v>2da0cd42c44abf20870d92cb116a5db2343fb0ab4fd374d2964a0ec0c6e95bcf</x:v>
      </x:c>
      <x:c r="R50" s="5" t="str">
        <x:v>0274c0dca588e31241c5d2da10d95a9f32714032ceb0a55a6d4464da3743d41d</x:v>
      </x:c>
    </x:row>
    <x:row r="51" ht="22" customHeight="1">
      <x:c r="A51" s="9" t="str">
        <x:v>broad/16202_05</x:v>
      </x:c>
      <x:c r="B51" s="9" t="str">
        <x:v>broad</x:v>
      </x:c>
      <x:c r="C51" s="9" t="str">
        <x:v>quadratic/2</x:v>
      </x:c>
      <x:c r="D51" s="11" t="n">
        <x:v>16202</x:v>
      </x:c>
      <x:c r="E51" s="9" t="n">
        <x:v>0.14967882285102468</x:v>
      </x:c>
      <x:c r="F51" s="9" t="n">
        <x:v>0.002530919403287053</x:v>
      </x:c>
      <x:c r="G51" s="9" t="n">
        <x:f>F51-E51</x:f>
        <x:v>-0.14714790344773762</x:v>
      </x:c>
      <x:c r="H51" s="9" t="n">
        <x:v>0.0007024632154387579</x:v>
      </x:c>
      <x:c r="I51" s="9" t="n">
        <x:v>0.0007024632154387579</x:v>
      </x:c>
      <x:c r="J51" s="9" t="n">
        <x:f>I51-H51</x:f>
        <x:v>0</x:v>
      </x:c>
      <x:c r="K51" s="9" t="str">
        <x:f>IF(G51&lt;0,"gain",IF(G51&gt;0,"perte","égalité"))</x:f>
        <x:v>gain</x:v>
      </x:c>
      <x:c r="L51" s="9" t="str">
        <x:f>IF(J51&lt;0,"gain",IF(J51&gt;0,"perte","égalité"))</x:f>
        <x:v>égalité</x:v>
      </x:c>
      <x:c r="M51" s="11" t="n">
        <x:v>1</x:v>
      </x:c>
      <x:c r="N51" s="11" t="n">
        <x:v>1</x:v>
      </x:c>
      <x:c r="O51" s="9" t="str">
        <x:v>S103</x:v>
      </x:c>
      <x:c r="P51" s="9" t="str">
        <x:v>S104</x:v>
      </x:c>
      <x:c r="Q51" s="9" t="str">
        <x:v>f680b25a28bd34a7f98938bd41f5dffe2ac025d387f69838f7f69ac3e6e68219</x:v>
      </x:c>
      <x:c r="R51" s="9" t="str">
        <x:v>24f62a3e8101d549f66a982f5f4da30491a13791bc7ea87727e47a8e90c88481</x:v>
      </x:c>
    </x:row>
    <x:row r="52" ht="22" customHeight="1">
      <x:c r="A52" s="5" t="str">
        <x:v>broad/16203_05</x:v>
      </x:c>
      <x:c r="B52" s="5" t="str">
        <x:v>broad</x:v>
      </x:c>
      <x:c r="C52" s="5" t="str">
        <x:v>quadratic/2</x:v>
      </x:c>
      <x:c r="D52" s="10" t="n">
        <x:v>16203</x:v>
      </x:c>
      <x:c r="E52" s="5" t="n">
        <x:v>0.0671070479616647</x:v>
      </x:c>
      <x:c r="F52" s="5" t="n">
        <x:v>0.0024767022323856783</x:v>
      </x:c>
      <x:c r="G52" s="5" t="n">
        <x:f>F52-E52</x:f>
        <x:v>-0.06463034572927902</x:v>
      </x:c>
      <x:c r="H52" s="5" t="n">
        <x:v>0.0007024632154387579</x:v>
      </x:c>
      <x:c r="I52" s="5" t="n">
        <x:v>0.0007024632154387579</x:v>
      </x:c>
      <x:c r="J52" s="5" t="n">
        <x:f>I52-H52</x:f>
        <x:v>0</x:v>
      </x:c>
      <x:c r="K52" s="5" t="str">
        <x:f>IF(G52&lt;0,"gain",IF(G52&gt;0,"perte","égalité"))</x:f>
        <x:v>gain</x:v>
      </x:c>
      <x:c r="L52" s="5" t="str">
        <x:f>IF(J52&lt;0,"gain",IF(J52&gt;0,"perte","égalité"))</x:f>
        <x:v>égalité</x:v>
      </x:c>
      <x:c r="M52" s="10" t="n">
        <x:v>1</x:v>
      </x:c>
      <x:c r="N52" s="10" t="n">
        <x:v>1</x:v>
      </x:c>
      <x:c r="O52" s="5" t="str">
        <x:v>S105</x:v>
      </x:c>
      <x:c r="P52" s="5" t="str">
        <x:v>S106</x:v>
      </x:c>
      <x:c r="Q52" s="5" t="str">
        <x:v>93cc8fdb01ea61e82479566c25fb66d21d9630d180bec99f12a4d6beabf5ebcc</x:v>
      </x:c>
      <x:c r="R52" s="5" t="str">
        <x:v>1f3fc87e95bd508f6c60ade07c8e45a35ac0686edf0788c1b12c6ece44208965</x:v>
      </x:c>
    </x:row>
    <x:row r="53" ht="22" customHeight="1">
      <x:c r="A53" s="9" t="str">
        <x:v>broad/16204_05</x:v>
      </x:c>
      <x:c r="B53" s="9" t="str">
        <x:v>broad</x:v>
      </x:c>
      <x:c r="C53" s="9" t="str">
        <x:v>quadratic/2</x:v>
      </x:c>
      <x:c r="D53" s="11" t="n">
        <x:v>16204</x:v>
      </x:c>
      <x:c r="E53" s="9" t="n">
        <x:v>0.02056297878912437</x:v>
      </x:c>
      <x:c r="F53" s="9" t="n">
        <x:v>0.002423231342405461</x:v>
      </x:c>
      <x:c r="G53" s="9" t="n">
        <x:f>F53-E53</x:f>
        <x:v>-0.01813974744671891</x:v>
      </x:c>
      <x:c r="H53" s="9" t="n">
        <x:v>0.0007024632154387579</x:v>
      </x:c>
      <x:c r="I53" s="9" t="n">
        <x:v>0.0007024632154387579</x:v>
      </x:c>
      <x:c r="J53" s="9" t="n">
        <x:f>I53-H53</x:f>
        <x:v>0</x:v>
      </x:c>
      <x:c r="K53" s="9" t="str">
        <x:f>IF(G53&lt;0,"gain",IF(G53&gt;0,"perte","égalité"))</x:f>
        <x:v>gain</x:v>
      </x:c>
      <x:c r="L53" s="9" t="str">
        <x:f>IF(J53&lt;0,"gain",IF(J53&gt;0,"perte","égalité"))</x:f>
        <x:v>égalité</x:v>
      </x:c>
      <x:c r="M53" s="11" t="n">
        <x:v>1</x:v>
      </x:c>
      <x:c r="N53" s="11" t="n">
        <x:v>1</x:v>
      </x:c>
      <x:c r="O53" s="9" t="str">
        <x:v>S107</x:v>
      </x:c>
      <x:c r="P53" s="9" t="str">
        <x:v>S108</x:v>
      </x:c>
      <x:c r="Q53" s="9" t="str">
        <x:v>363189eb39bcff6a192a4e235f8896116b1c7487c96d9f2e462a4637b52ccb7f</x:v>
      </x:c>
      <x:c r="R53" s="9" t="str">
        <x:v>770f90b42f140a08949586e655cad854e5bc2c77dcb2b72861a9e987166083fd</x:v>
      </x:c>
    </x:row>
    <x:row r="54" ht="22" customHeight="1">
      <x:c r="A54" s="5" t="str">
        <x:v>central/16201_06</x:v>
      </x:c>
      <x:c r="B54" s="5" t="str">
        <x:v>central</x:v>
      </x:c>
      <x:c r="C54" s="5" t="str">
        <x:v>quadratic/4</x:v>
      </x:c>
      <x:c r="D54" s="10" t="n">
        <x:v>16201</x:v>
      </x:c>
      <x:c r="E54" s="5" t="n">
        <x:v>0.14261948174615546</x:v>
      </x:c>
      <x:c r="F54" s="5" t="n">
        <x:v>0.1280159271075327</x:v>
      </x:c>
      <x:c r="G54" s="5" t="n">
        <x:f>F54-E54</x:f>
        <x:v>-0.014603554638622757</x:v>
      </x:c>
      <x:c r="H54" s="5" t="n">
        <x:v>0.013775673890972652</x:v>
      </x:c>
      <x:c r="I54" s="5" t="n">
        <x:v>0.013775673890972652</x:v>
      </x:c>
      <x:c r="J54" s="5" t="n">
        <x:f>I54-H54</x:f>
        <x:v>0</x:v>
      </x:c>
      <x:c r="K54" s="5" t="str">
        <x:f>IF(G54&lt;0,"gain",IF(G54&gt;0,"perte","égalité"))</x:f>
        <x:v>gain</x:v>
      </x:c>
      <x:c r="L54" s="5" t="str">
        <x:f>IF(J54&lt;0,"gain",IF(J54&gt;0,"perte","égalité"))</x:f>
        <x:v>égalité</x:v>
      </x:c>
      <x:c r="M54" s="10" t="n">
        <x:v>1</x:v>
      </x:c>
      <x:c r="N54" s="10" t="n">
        <x:v>1</x:v>
      </x:c>
      <x:c r="O54" s="5" t="str">
        <x:v>S109</x:v>
      </x:c>
      <x:c r="P54" s="5" t="str">
        <x:v>S110</x:v>
      </x:c>
      <x:c r="Q54" s="5" t="str">
        <x:v>b44afaf173980c36e6f0b9ac95addf5f7ae3579b5b4c8ea9576a42dbade1db9e</x:v>
      </x:c>
      <x:c r="R54" s="5" t="str">
        <x:v>8e9a5401dc58f9e9e6bdc466e2fcc36f9b6684a682a3a24ce2d85e0c3c4b51d5</x:v>
      </x:c>
    </x:row>
    <x:row r="55" ht="22" customHeight="1">
      <x:c r="A55" s="9" t="str">
        <x:v>central/16202_06</x:v>
      </x:c>
      <x:c r="B55" s="9" t="str">
        <x:v>central</x:v>
      </x:c>
      <x:c r="C55" s="9" t="str">
        <x:v>quadratic/4</x:v>
      </x:c>
      <x:c r="D55" s="11" t="n">
        <x:v>16202</x:v>
      </x:c>
      <x:c r="E55" s="9" t="n">
        <x:v>0.1320279911679956</x:v>
      </x:c>
      <x:c r="F55" s="9" t="n">
        <x:v>0.12259067202134098</x:v>
      </x:c>
      <x:c r="G55" s="9" t="n">
        <x:f>F55-E55</x:f>
        <x:v>-0.009437319146654619</x:v>
      </x:c>
      <x:c r="H55" s="9" t="n">
        <x:v>0.01465865654101402</x:v>
      </x:c>
      <x:c r="I55" s="9" t="n">
        <x:v>0.01465865654101402</x:v>
      </x:c>
      <x:c r="J55" s="9" t="n">
        <x:f>I55-H55</x:f>
        <x:v>0</x:v>
      </x:c>
      <x:c r="K55" s="9" t="str">
        <x:f>IF(G55&lt;0,"gain",IF(G55&gt;0,"perte","égalité"))</x:f>
        <x:v>gain</x:v>
      </x:c>
      <x:c r="L55" s="9" t="str">
        <x:f>IF(J55&lt;0,"gain",IF(J55&gt;0,"perte","égalité"))</x:f>
        <x:v>égalité</x:v>
      </x:c>
      <x:c r="M55" s="11" t="n">
        <x:v>1</x:v>
      </x:c>
      <x:c r="N55" s="11" t="n">
        <x:v>1</x:v>
      </x:c>
      <x:c r="O55" s="9" t="str">
        <x:v>S111</x:v>
      </x:c>
      <x:c r="P55" s="9" t="str">
        <x:v>S112</x:v>
      </x:c>
      <x:c r="Q55" s="9" t="str">
        <x:v>37fdb1f5824134443453caa96aed432dc4293710a60a7913e13fe7ff501624dc</x:v>
      </x:c>
      <x:c r="R55" s="9" t="str">
        <x:v>8c22f73a0edf38c15e86471fdb4f7a9c044ef25d587e6d285a7b526617b8f636</x:v>
      </x:c>
    </x:row>
    <x:row r="56" ht="22" customHeight="1">
      <x:c r="A56" s="5" t="str">
        <x:v>central/16203_06</x:v>
      </x:c>
      <x:c r="B56" s="5" t="str">
        <x:v>central</x:v>
      </x:c>
      <x:c r="C56" s="5" t="str">
        <x:v>quadratic/4</x:v>
      </x:c>
      <x:c r="D56" s="10" t="n">
        <x:v>16203</x:v>
      </x:c>
      <x:c r="E56" s="5" t="n">
        <x:v>0.43317688876333593</x:v>
      </x:c>
      <x:c r="F56" s="5" t="n">
        <x:v>0.0633117648107177</x:v>
      </x:c>
      <x:c r="G56" s="5" t="n">
        <x:f>F56-E56</x:f>
        <x:v>-0.3698651239526182</x:v>
      </x:c>
      <x:c r="H56" s="5" t="n">
        <x:v>0.03614670564647096</x:v>
      </x:c>
      <x:c r="I56" s="5" t="n">
        <x:v>0.006607351617500138</x:v>
      </x:c>
      <x:c r="J56" s="5" t="n">
        <x:f>I56-H56</x:f>
        <x:v>-0.029539354028970823</x:v>
      </x:c>
      <x:c r="K56" s="5" t="str">
        <x:f>IF(G56&lt;0,"gain",IF(G56&gt;0,"perte","égalité"))</x:f>
        <x:v>gain</x:v>
      </x:c>
      <x:c r="L56" s="5" t="str">
        <x:f>IF(J56&lt;0,"gain",IF(J56&gt;0,"perte","égalité"))</x:f>
        <x:v>gain</x:v>
      </x:c>
      <x:c r="M56" s="10" t="n">
        <x:v>1</x:v>
      </x:c>
      <x:c r="N56" s="10" t="n">
        <x:v>1</x:v>
      </x:c>
      <x:c r="O56" s="5" t="str">
        <x:v>S113</x:v>
      </x:c>
      <x:c r="P56" s="5" t="str">
        <x:v>S114</x:v>
      </x:c>
      <x:c r="Q56" s="5" t="str">
        <x:v>2ec865add22c719def0e2d622acb958794f3db49dfb3fd83e5e92b724382085d</x:v>
      </x:c>
      <x:c r="R56" s="5" t="str">
        <x:v>b75c4f3648d9e524c6e61cc118eeceb389089ca3b71f1a2a10eb730c761734a7</x:v>
      </x:c>
    </x:row>
    <x:row r="57" ht="22" customHeight="1">
      <x:c r="A57" s="9" t="str">
        <x:v>central/16204_06</x:v>
      </x:c>
      <x:c r="B57" s="9" t="str">
        <x:v>central</x:v>
      </x:c>
      <x:c r="C57" s="9" t="str">
        <x:v>quadratic/4</x:v>
      </x:c>
      <x:c r="D57" s="11" t="n">
        <x:v>16204</x:v>
      </x:c>
      <x:c r="E57" s="9" t="n">
        <x:v>0.0390103381247159</x:v>
      </x:c>
      <x:c r="F57" s="9" t="n">
        <x:v>0.05698094862490506</x:v>
      </x:c>
      <x:c r="G57" s="9" t="n">
        <x:f>F57-E57</x:f>
        <x:v>0.01797061050018916</x:v>
      </x:c>
      <x:c r="H57" s="9" t="n">
        <x:v>0.02374623375706142</x:v>
      </x:c>
      <x:c r="I57" s="9" t="n">
        <x:v>0.005265711239887227</x:v>
      </x:c>
      <x:c r="J57" s="9" t="n">
        <x:f>I57-H57</x:f>
        <x:v>-0.01848052251717419</x:v>
      </x:c>
      <x:c r="K57" s="9" t="str">
        <x:f>IF(G57&lt;0,"gain",IF(G57&gt;0,"perte","égalité"))</x:f>
        <x:v>perte</x:v>
      </x:c>
      <x:c r="L57" s="9" t="str">
        <x:f>IF(J57&lt;0,"gain",IF(J57&gt;0,"perte","égalité"))</x:f>
        <x:v>gain</x:v>
      </x:c>
      <x:c r="M57" s="11" t="n">
        <x:v>1</x:v>
      </x:c>
      <x:c r="N57" s="11" t="n">
        <x:v>1</x:v>
      </x:c>
      <x:c r="O57" s="9" t="str">
        <x:v>S115</x:v>
      </x:c>
      <x:c r="P57" s="9" t="str">
        <x:v>S116</x:v>
      </x:c>
      <x:c r="Q57" s="9" t="str">
        <x:v>5e093b4535ab89023c7e7f99d22222db36a871eb824cbbaa63b0c5ee8fb37121</x:v>
      </x:c>
      <x:c r="R57" s="9" t="str">
        <x:v>9e6b7a1148f74141ad2c6c945bd12c4a01d46d1deb2778bc836bd604a4e135c6</x:v>
      </x:c>
    </x:row>
    <x:row r="58" ht="22" customHeight="1">
      <x:c r="A58" s="5" t="str">
        <x:v>broad/16201_06</x:v>
      </x:c>
      <x:c r="B58" s="5" t="str">
        <x:v>broad</x:v>
      </x:c>
      <x:c r="C58" s="5" t="str">
        <x:v>quadratic/4</x:v>
      </x:c>
      <x:c r="D58" s="10" t="n">
        <x:v>16201</x:v>
      </x:c>
      <x:c r="E58" s="5" t="n">
        <x:v>0.05972197989537188</x:v>
      </x:c>
      <x:c r="F58" s="5" t="n">
        <x:v>0.08258070293903708</x:v>
      </x:c>
      <x:c r="G58" s="5" t="n">
        <x:f>F58-E58</x:f>
        <x:v>0.022858723043665194</x:v>
      </x:c>
      <x:c r="H58" s="5" t="n">
        <x:v>0.01901777917848399</x:v>
      </x:c>
      <x:c r="I58" s="5" t="n">
        <x:v>0.01901777917848399</x:v>
      </x:c>
      <x:c r="J58" s="5" t="n">
        <x:f>I58-H58</x:f>
        <x:v>0</x:v>
      </x:c>
      <x:c r="K58" s="5" t="str">
        <x:f>IF(G58&lt;0,"gain",IF(G58&gt;0,"perte","égalité"))</x:f>
        <x:v>perte</x:v>
      </x:c>
      <x:c r="L58" s="5" t="str">
        <x:f>IF(J58&lt;0,"gain",IF(J58&gt;0,"perte","égalité"))</x:f>
        <x:v>égalité</x:v>
      </x:c>
      <x:c r="M58" s="10" t="n">
        <x:v>1</x:v>
      </x:c>
      <x:c r="N58" s="10" t="n">
        <x:v>1</x:v>
      </x:c>
      <x:c r="O58" s="5" t="str">
        <x:v>S117</x:v>
      </x:c>
      <x:c r="P58" s="5" t="str">
        <x:v>S118</x:v>
      </x:c>
      <x:c r="Q58" s="5" t="str">
        <x:v>0e00445bd243a0cdbf896284b9e7130f6bcff929f505eae485e0c4fed78973dd</x:v>
      </x:c>
      <x:c r="R58" s="5" t="str">
        <x:v>0574ba8bd51348dca28595c8ffff3b8629819d70933088c8d828c1b462258eaa</x:v>
      </x:c>
    </x:row>
    <x:row r="59" ht="22" customHeight="1">
      <x:c r="A59" s="9" t="str">
        <x:v>broad/16202_06</x:v>
      </x:c>
      <x:c r="B59" s="9" t="str">
        <x:v>broad</x:v>
      </x:c>
      <x:c r="C59" s="9" t="str">
        <x:v>quadratic/4</x:v>
      </x:c>
      <x:c r="D59" s="11" t="n">
        <x:v>16202</x:v>
      </x:c>
      <x:c r="E59" s="9" t="n">
        <x:v>0.07292660235699054</x:v>
      </x:c>
      <x:c r="F59" s="9" t="n">
        <x:v>0.0646694045757011</x:v>
      </x:c>
      <x:c r="G59" s="9" t="n">
        <x:f>F59-E59</x:f>
        <x:v>-0.008257197781289444</x:v>
      </x:c>
      <x:c r="H59" s="9" t="n">
        <x:v>0.01794795560295092</x:v>
      </x:c>
      <x:c r="I59" s="9" t="n">
        <x:v>0.01794795560295092</x:v>
      </x:c>
      <x:c r="J59" s="9" t="n">
        <x:f>I59-H59</x:f>
        <x:v>0</x:v>
      </x:c>
      <x:c r="K59" s="9" t="str">
        <x:f>IF(G59&lt;0,"gain",IF(G59&gt;0,"perte","égalité"))</x:f>
        <x:v>gain</x:v>
      </x:c>
      <x:c r="L59" s="9" t="str">
        <x:f>IF(J59&lt;0,"gain",IF(J59&gt;0,"perte","égalité"))</x:f>
        <x:v>égalité</x:v>
      </x:c>
      <x:c r="M59" s="11" t="n">
        <x:v>1</x:v>
      </x:c>
      <x:c r="N59" s="11" t="n">
        <x:v>1</x:v>
      </x:c>
      <x:c r="O59" s="9" t="str">
        <x:v>S119</x:v>
      </x:c>
      <x:c r="P59" s="9" t="str">
        <x:v>S120</x:v>
      </x:c>
      <x:c r="Q59" s="9" t="str">
        <x:v>c3fc49b33b0a051cc52a271726ae5c9ceb7c67ec69fcc53eec5a66280c9b13c6</x:v>
      </x:c>
      <x:c r="R59" s="9" t="str">
        <x:v>32eeb6e174f53826432af4fdf46fd89967986386c6fc006e7b11f7323b4f8ba6</x:v>
      </x:c>
    </x:row>
    <x:row r="60" ht="22" customHeight="1">
      <x:c r="A60" s="5" t="str">
        <x:v>broad/16203_06</x:v>
      </x:c>
      <x:c r="B60" s="5" t="str">
        <x:v>broad</x:v>
      </x:c>
      <x:c r="C60" s="5" t="str">
        <x:v>quadratic/4</x:v>
      </x:c>
      <x:c r="D60" s="10" t="n">
        <x:v>16203</x:v>
      </x:c>
      <x:c r="E60" s="5" t="n">
        <x:v>0.48651689657262165</x:v>
      </x:c>
      <x:c r="F60" s="5" t="n">
        <x:v>0.11559793324480079</x:v>
      </x:c>
      <x:c r="G60" s="5" t="n">
        <x:f>F60-E60</x:f>
        <x:v>-0.37091896332782087</x:v>
      </x:c>
      <x:c r="H60" s="5" t="n">
        <x:v>0.06699650421292352</x:v>
      </x:c>
      <x:c r="I60" s="5" t="n">
        <x:v>0.0014600625145057104</x:v>
      </x:c>
      <x:c r="J60" s="5" t="n">
        <x:f>I60-H60</x:f>
        <x:v>-0.06553644169841781</x:v>
      </x:c>
      <x:c r="K60" s="5" t="str">
        <x:f>IF(G60&lt;0,"gain",IF(G60&gt;0,"perte","égalité"))</x:f>
        <x:v>gain</x:v>
      </x:c>
      <x:c r="L60" s="5" t="str">
        <x:f>IF(J60&lt;0,"gain",IF(J60&gt;0,"perte","égalité"))</x:f>
        <x:v>gain</x:v>
      </x:c>
      <x:c r="M60" s="10" t="n">
        <x:v>1</x:v>
      </x:c>
      <x:c r="N60" s="10" t="n">
        <x:v>1</x:v>
      </x:c>
      <x:c r="O60" s="5" t="str">
        <x:v>S121</x:v>
      </x:c>
      <x:c r="P60" s="5" t="str">
        <x:v>S122</x:v>
      </x:c>
      <x:c r="Q60" s="5" t="str">
        <x:v>1eaf6620b48237b34dbd26cc41c045d80692b1a31b5481807a6397c55ef6b867</x:v>
      </x:c>
      <x:c r="R60" s="5" t="str">
        <x:v>0f3f86231f79ec38ec798dd0cb9f3b7fc4439a79475b7cae3983d8cbfacf3556</x:v>
      </x:c>
    </x:row>
    <x:row r="61" ht="22" customHeight="1">
      <x:c r="A61" s="9" t="str">
        <x:v>broad/16204_06</x:v>
      </x:c>
      <x:c r="B61" s="9" t="str">
        <x:v>broad</x:v>
      </x:c>
      <x:c r="C61" s="9" t="str">
        <x:v>quadratic/4</x:v>
      </x:c>
      <x:c r="D61" s="11" t="n">
        <x:v>16204</x:v>
      </x:c>
      <x:c r="E61" s="9" t="n">
        <x:v>0.04469862958632725</x:v>
      </x:c>
      <x:c r="F61" s="9" t="n">
        <x:v>0.09239409059248771</x:v>
      </x:c>
      <x:c r="G61" s="9" t="n">
        <x:f>F61-E61</x:f>
        <x:v>0.04769546100616046</x:v>
      </x:c>
      <x:c r="H61" s="9" t="n">
        <x:v>0.0059853376742525465</x:v>
      </x:c>
      <x:c r="I61" s="9" t="n">
        <x:v>0.00367275848169134</x:v>
      </x:c>
      <x:c r="J61" s="9" t="n">
        <x:f>I61-H61</x:f>
        <x:v>-0.0023125791925612065</x:v>
      </x:c>
      <x:c r="K61" s="9" t="str">
        <x:f>IF(G61&lt;0,"gain",IF(G61&gt;0,"perte","égalité"))</x:f>
        <x:v>perte</x:v>
      </x:c>
      <x:c r="L61" s="9" t="str">
        <x:f>IF(J61&lt;0,"gain",IF(J61&gt;0,"perte","égalité"))</x:f>
        <x:v>gain</x:v>
      </x:c>
      <x:c r="M61" s="11" t="n">
        <x:v>1</x:v>
      </x:c>
      <x:c r="N61" s="11" t="n">
        <x:v>1</x:v>
      </x:c>
      <x:c r="O61" s="9" t="str">
        <x:v>S123</x:v>
      </x:c>
      <x:c r="P61" s="9" t="str">
        <x:v>S124</x:v>
      </x:c>
      <x:c r="Q61" s="9" t="str">
        <x:v>b5829febff6da995c3fb15c8992cdd2caf5157855fe7b98d3e74cd0335060e85</x:v>
      </x:c>
      <x:c r="R61" s="9" t="str">
        <x:v>9580fdf6203b7fb5466b986afa9b3370920ad6304bacc6c1fec65d6d19ae434f</x:v>
      </x:c>
    </x:row>
    <x:row r="62" ht="22" customHeight="1">
      <x:c r="A62" s="5" t="str">
        <x:v>central/16201_07</x:v>
      </x:c>
      <x:c r="B62" s="5" t="str">
        <x:v>central</x:v>
      </x:c>
      <x:c r="C62" s="5" t="str">
        <x:v>quadratic/4</x:v>
      </x:c>
      <x:c r="D62" s="10" t="n">
        <x:v>16201</x:v>
      </x:c>
      <x:c r="E62" s="5" t="n">
        <x:v>0.2137837304524366</x:v>
      </x:c>
      <x:c r="F62" s="5" t="n">
        <x:v>0.04753383157303577</x:v>
      </x:c>
      <x:c r="G62" s="5" t="n">
        <x:f>F62-E62</x:f>
        <x:v>-0.16624989887940084</x:v>
      </x:c>
      <x:c r="H62" s="5" t="n">
        <x:v>0.0342233056153122</x:v>
      </x:c>
      <x:c r="I62" s="5" t="n">
        <x:v>0.006272005494571405</x:v>
      </x:c>
      <x:c r="J62" s="5" t="n">
        <x:f>I62-H62</x:f>
        <x:v>-0.027951300120740794</x:v>
      </x:c>
      <x:c r="K62" s="5" t="str">
        <x:f>IF(G62&lt;0,"gain",IF(G62&gt;0,"perte","égalité"))</x:f>
        <x:v>gain</x:v>
      </x:c>
      <x:c r="L62" s="5" t="str">
        <x:f>IF(J62&lt;0,"gain",IF(J62&gt;0,"perte","égalité"))</x:f>
        <x:v>gain</x:v>
      </x:c>
      <x:c r="M62" s="10" t="n">
        <x:v>1</x:v>
      </x:c>
      <x:c r="N62" s="10" t="n">
        <x:v>1</x:v>
      </x:c>
      <x:c r="O62" s="5" t="str">
        <x:v>S125</x:v>
      </x:c>
      <x:c r="P62" s="5" t="str">
        <x:v>S126</x:v>
      </x:c>
      <x:c r="Q62" s="5" t="str">
        <x:v>99b05e4b3621734e71326eb220c6a30621d8769671bc8cb5ea142c2a9dea53b1</x:v>
      </x:c>
      <x:c r="R62" s="5" t="str">
        <x:v>0ac5e8e1abaea9c7b66e3e0963c0e6003d1b2ea283962e091bcc093cc186aa19</x:v>
      </x:c>
    </x:row>
    <x:row r="63" ht="22" customHeight="1">
      <x:c r="A63" s="9" t="str">
        <x:v>central/16202_07</x:v>
      </x:c>
      <x:c r="B63" s="9" t="str">
        <x:v>central</x:v>
      </x:c>
      <x:c r="C63" s="9" t="str">
        <x:v>quadratic/4</x:v>
      </x:c>
      <x:c r="D63" s="11" t="n">
        <x:v>16202</x:v>
      </x:c>
      <x:c r="E63" s="9" t="n">
        <x:v>0.20705229685332913</x:v>
      </x:c>
      <x:c r="F63" s="9" t="n">
        <x:v>0.08329360621444422</x:v>
      </x:c>
      <x:c r="G63" s="9" t="n">
        <x:f>F63-E63</x:f>
        <x:v>-0.12375869063888491</x:v>
      </x:c>
      <x:c r="H63" s="9" t="n">
        <x:v>0.03385814213527769</x:v>
      </x:c>
      <x:c r="I63" s="9" t="n">
        <x:v>0.0060449564826035645</x:v>
      </x:c>
      <x:c r="J63" s="9" t="n">
        <x:f>I63-H63</x:f>
        <x:v>-0.027813185652674127</x:v>
      </x:c>
      <x:c r="K63" s="9" t="str">
        <x:f>IF(G63&lt;0,"gain",IF(G63&gt;0,"perte","égalité"))</x:f>
        <x:v>gain</x:v>
      </x:c>
      <x:c r="L63" s="9" t="str">
        <x:f>IF(J63&lt;0,"gain",IF(J63&gt;0,"perte","égalité"))</x:f>
        <x:v>gain</x:v>
      </x:c>
      <x:c r="M63" s="11" t="n">
        <x:v>1</x:v>
      </x:c>
      <x:c r="N63" s="11" t="n">
        <x:v>1</x:v>
      </x:c>
      <x:c r="O63" s="9" t="str">
        <x:v>S127</x:v>
      </x:c>
      <x:c r="P63" s="9" t="str">
        <x:v>S128</x:v>
      </x:c>
      <x:c r="Q63" s="9" t="str">
        <x:v>6aae032901d136953663d0922eecaef8aec86c195bde5241f354c3b584e54c79</x:v>
      </x:c>
      <x:c r="R63" s="9" t="str">
        <x:v>ca3f3a5322a5d83240d69757608efe0880374bb6490ebbfa80c96b67d68082db</x:v>
      </x:c>
    </x:row>
    <x:row r="64" ht="22" customHeight="1">
      <x:c r="A64" s="5" t="str">
        <x:v>central/16203_07</x:v>
      </x:c>
      <x:c r="B64" s="5" t="str">
        <x:v>central</x:v>
      </x:c>
      <x:c r="C64" s="5" t="str">
        <x:v>quadratic/4</x:v>
      </x:c>
      <x:c r="D64" s="10" t="n">
        <x:v>16203</x:v>
      </x:c>
      <x:c r="E64" s="5" t="n">
        <x:v>0.5028337257535643</x:v>
      </x:c>
      <x:c r="F64" s="5" t="n">
        <x:v>0.0793524238479521</x:v>
      </x:c>
      <x:c r="G64" s="5" t="n">
        <x:f>F64-E64</x:f>
        <x:v>-0.42348130190561223</x:v>
      </x:c>
      <x:c r="H64" s="5" t="n">
        <x:v>0.042904254387588506</x:v>
      </x:c>
      <x:c r="I64" s="5" t="n">
        <x:v>0.007514824259397113</x:v>
      </x:c>
      <x:c r="J64" s="5" t="n">
        <x:f>I64-H64</x:f>
        <x:v>-0.035389430128191394</x:v>
      </x:c>
      <x:c r="K64" s="5" t="str">
        <x:f>IF(G64&lt;0,"gain",IF(G64&gt;0,"perte","égalité"))</x:f>
        <x:v>gain</x:v>
      </x:c>
      <x:c r="L64" s="5" t="str">
        <x:f>IF(J64&lt;0,"gain",IF(J64&gt;0,"perte","égalité"))</x:f>
        <x:v>gain</x:v>
      </x:c>
      <x:c r="M64" s="10" t="n">
        <x:v>1</x:v>
      </x:c>
      <x:c r="N64" s="10" t="n">
        <x:v>1</x:v>
      </x:c>
      <x:c r="O64" s="5" t="str">
        <x:v>S129</x:v>
      </x:c>
      <x:c r="P64" s="5" t="str">
        <x:v>S130</x:v>
      </x:c>
      <x:c r="Q64" s="5" t="str">
        <x:v>3662bb952e6c801c4eb790c1a1889cc0d7d27fd5d0864402cdf9a0bca4aa5e1f</x:v>
      </x:c>
      <x:c r="R64" s="5" t="str">
        <x:v>a1100d7e2889a023191078dbc1b8b90ed0fbbd35a968e71411c42e4fc12b6415</x:v>
      </x:c>
    </x:row>
    <x:row r="65" ht="22" customHeight="1">
      <x:c r="A65" s="9" t="str">
        <x:v>central/16204_07</x:v>
      </x:c>
      <x:c r="B65" s="9" t="str">
        <x:v>central</x:v>
      </x:c>
      <x:c r="C65" s="9" t="str">
        <x:v>quadratic/4</x:v>
      </x:c>
      <x:c r="D65" s="11" t="n">
        <x:v>16204</x:v>
      </x:c>
      <x:c r="E65" s="9" t="n">
        <x:v>0.037366901009732126</x:v>
      </x:c>
      <x:c r="F65" s="9" t="n">
        <x:v>0.0593377280407953</x:v>
      </x:c>
      <x:c r="G65" s="9" t="n">
        <x:f>F65-E65</x:f>
        <x:v>0.02197082703106317</x:v>
      </x:c>
      <x:c r="H65" s="9" t="n">
        <x:v>0.037366901009732126</x:v>
      </x:c>
      <x:c r="I65" s="9" t="n">
        <x:v>0.010032820881160493</x:v>
      </x:c>
      <x:c r="J65" s="9" t="n">
        <x:f>I65-H65</x:f>
        <x:v>-0.027334080128571633</x:v>
      </x:c>
      <x:c r="K65" s="9" t="str">
        <x:f>IF(G65&lt;0,"gain",IF(G65&gt;0,"perte","égalité"))</x:f>
        <x:v>perte</x:v>
      </x:c>
      <x:c r="L65" s="9" t="str">
        <x:f>IF(J65&lt;0,"gain",IF(J65&gt;0,"perte","égalité"))</x:f>
        <x:v>gain</x:v>
      </x:c>
      <x:c r="M65" s="11" t="n">
        <x:v>1</x:v>
      </x:c>
      <x:c r="N65" s="11" t="n">
        <x:v>1</x:v>
      </x:c>
      <x:c r="O65" s="9" t="str">
        <x:v>S131</x:v>
      </x:c>
      <x:c r="P65" s="9" t="str">
        <x:v>S132</x:v>
      </x:c>
      <x:c r="Q65" s="9" t="str">
        <x:v>c35360a932f91d5867ee6983a5fe955d8d3a9a4079cd434ec86f18c2c10d4cf6</x:v>
      </x:c>
      <x:c r="R65" s="9" t="str">
        <x:v>cded3c97407a002c3500dc7565373f519083aedf2300a57f64910866deadb851</x:v>
      </x:c>
    </x:row>
    <x:row r="66" ht="22" customHeight="1">
      <x:c r="A66" s="5" t="str">
        <x:v>broad/16201_07</x:v>
      </x:c>
      <x:c r="B66" s="5" t="str">
        <x:v>broad</x:v>
      </x:c>
      <x:c r="C66" s="5" t="str">
        <x:v>quadratic/4</x:v>
      </x:c>
      <x:c r="D66" s="10" t="n">
        <x:v>16201</x:v>
      </x:c>
      <x:c r="E66" s="5" t="n">
        <x:v>0.03203053897240275</x:v>
      </x:c>
      <x:c r="F66" s="5" t="n">
        <x:v>0.11590604044221457</x:v>
      </x:c>
      <x:c r="G66" s="5" t="n">
        <x:f>F66-E66</x:f>
        <x:v>0.08387550146981182</x:v>
      </x:c>
      <x:c r="H66" s="5" t="n">
        <x:v>0.01006437013745456</x:v>
      </x:c>
      <x:c r="I66" s="5" t="n">
        <x:v>0.014715687485515088</x:v>
      </x:c>
      <x:c r="J66" s="5" t="n">
        <x:f>I66-H66</x:f>
        <x:v>0.004651317348060529</x:v>
      </x:c>
      <x:c r="K66" s="5" t="str">
        <x:f>IF(G66&lt;0,"gain",IF(G66&gt;0,"perte","égalité"))</x:f>
        <x:v>perte</x:v>
      </x:c>
      <x:c r="L66" s="5" t="str">
        <x:f>IF(J66&lt;0,"gain",IF(J66&gt;0,"perte","égalité"))</x:f>
        <x:v>perte</x:v>
      </x:c>
      <x:c r="M66" s="10" t="n">
        <x:v>1</x:v>
      </x:c>
      <x:c r="N66" s="10" t="n">
        <x:v>1</x:v>
      </x:c>
      <x:c r="O66" s="5" t="str">
        <x:v>S133</x:v>
      </x:c>
      <x:c r="P66" s="5" t="str">
        <x:v>S134</x:v>
      </x:c>
      <x:c r="Q66" s="5" t="str">
        <x:v>24d38b6d51a37119d3153c4f50f5397f3ae09fed7ed812a200697df54967b236</x:v>
      </x:c>
      <x:c r="R66" s="5" t="str">
        <x:v>c5254a3f10508db500fc2961eaed79030146b1214d1e4815699d2185b778b1df</x:v>
      </x:c>
    </x:row>
    <x:row r="67" ht="22" customHeight="1">
      <x:c r="A67" s="9" t="str">
        <x:v>broad/16202_07</x:v>
      </x:c>
      <x:c r="B67" s="9" t="str">
        <x:v>broad</x:v>
      </x:c>
      <x:c r="C67" s="9" t="str">
        <x:v>quadratic/4</x:v>
      </x:c>
      <x:c r="D67" s="11" t="n">
        <x:v>16202</x:v>
      </x:c>
      <x:c r="E67" s="9" t="n">
        <x:v>0.12120031207346475</x:v>
      </x:c>
      <x:c r="F67" s="9" t="n">
        <x:v>0.10563224497851939</x:v>
      </x:c>
      <x:c r="G67" s="9" t="n">
        <x:f>F67-E67</x:f>
        <x:v>-0.015568067094945362</x:v>
      </x:c>
      <x:c r="H67" s="9" t="n">
        <x:v>0.01405091509183551</x:v>
      </x:c>
      <x:c r="I67" s="9" t="n">
        <x:v>0.01405091509183551</x:v>
      </x:c>
      <x:c r="J67" s="9" t="n">
        <x:f>I67-H67</x:f>
        <x:v>0</x:v>
      </x:c>
      <x:c r="K67" s="9" t="str">
        <x:f>IF(G67&lt;0,"gain",IF(G67&gt;0,"perte","égalité"))</x:f>
        <x:v>gain</x:v>
      </x:c>
      <x:c r="L67" s="9" t="str">
        <x:f>IF(J67&lt;0,"gain",IF(J67&gt;0,"perte","égalité"))</x:f>
        <x:v>égalité</x:v>
      </x:c>
      <x:c r="M67" s="11" t="n">
        <x:v>1</x:v>
      </x:c>
      <x:c r="N67" s="11" t="n">
        <x:v>1</x:v>
      </x:c>
      <x:c r="O67" s="9" t="str">
        <x:v>S135</x:v>
      </x:c>
      <x:c r="P67" s="9" t="str">
        <x:v>S136</x:v>
      </x:c>
      <x:c r="Q67" s="9" t="str">
        <x:v>bcf079529dd08553d853f35adcb492ecd427eec2953f318b34c91542bca30191</x:v>
      </x:c>
      <x:c r="R67" s="9" t="str">
        <x:v>0d31913d003b3384f7948c95d5ccf04158ffbed7fbbe4f904b6151b49acdc431</x:v>
      </x:c>
    </x:row>
    <x:row r="68" ht="22" customHeight="1">
      <x:c r="A68" s="5" t="str">
        <x:v>broad/16203_07</x:v>
      </x:c>
      <x:c r="B68" s="5" t="str">
        <x:v>broad</x:v>
      </x:c>
      <x:c r="C68" s="5" t="str">
        <x:v>quadratic/4</x:v>
      </x:c>
      <x:c r="D68" s="10" t="n">
        <x:v>16203</x:v>
      </x:c>
      <x:c r="E68" s="5" t="n">
        <x:v>0.6154914041226217</x:v>
      </x:c>
      <x:c r="F68" s="5" t="n">
        <x:v>0.1279506801205518</x:v>
      </x:c>
      <x:c r="G68" s="5" t="n">
        <x:f>F68-E68</x:f>
        <x:v>-0.48754072400206994</x:v>
      </x:c>
      <x:c r="H68" s="5" t="n">
        <x:v>0.042698172962750545</x:v>
      </x:c>
      <x:c r="I68" s="5" t="n">
        <x:v>0.004122368752650989</x:v>
      </x:c>
      <x:c r="J68" s="5" t="n">
        <x:f>I68-H68</x:f>
        <x:v>-0.038575804210099554</x:v>
      </x:c>
      <x:c r="K68" s="5" t="str">
        <x:f>IF(G68&lt;0,"gain",IF(G68&gt;0,"perte","égalité"))</x:f>
        <x:v>gain</x:v>
      </x:c>
      <x:c r="L68" s="5" t="str">
        <x:f>IF(J68&lt;0,"gain",IF(J68&gt;0,"perte","égalité"))</x:f>
        <x:v>gain</x:v>
      </x:c>
      <x:c r="M68" s="10" t="n">
        <x:v>1</x:v>
      </x:c>
      <x:c r="N68" s="10" t="n">
        <x:v>1</x:v>
      </x:c>
      <x:c r="O68" s="5" t="str">
        <x:v>S137</x:v>
      </x:c>
      <x:c r="P68" s="5" t="str">
        <x:v>S138</x:v>
      </x:c>
      <x:c r="Q68" s="5" t="str">
        <x:v>a76e28cf7f15ab69917dbd76b4f537dc0793c5d12a0ce34afba5419ad4beb758</x:v>
      </x:c>
      <x:c r="R68" s="5" t="str">
        <x:v>c531b2e3930fef82ed909950c53047e4860e43976dac789cb63b6ec531cb2109</x:v>
      </x:c>
    </x:row>
    <x:row r="69" ht="22" customHeight="1">
      <x:c r="A69" s="9" t="str">
        <x:v>broad/16204_07</x:v>
      </x:c>
      <x:c r="B69" s="9" t="str">
        <x:v>broad</x:v>
      </x:c>
      <x:c r="C69" s="9" t="str">
        <x:v>quadratic/4</x:v>
      </x:c>
      <x:c r="D69" s="11" t="n">
        <x:v>16204</x:v>
      </x:c>
      <x:c r="E69" s="9" t="n">
        <x:v>0.03382908282414107</x:v>
      </x:c>
      <x:c r="F69" s="9" t="n">
        <x:v>0.11065461454858666</x:v>
      </x:c>
      <x:c r="G69" s="9" t="n">
        <x:f>F69-E69</x:f>
        <x:v>0.07682553172444559</x:v>
      </x:c>
      <x:c r="H69" s="9" t="n">
        <x:v>0.0033577371281112924</x:v>
      </x:c>
      <x:c r="I69" s="9" t="n">
        <x:v>0.004205705019380764</x:v>
      </x:c>
      <x:c r="J69" s="9" t="n">
        <x:f>I69-H69</x:f>
        <x:v>0.0008479678912694717</x:v>
      </x:c>
      <x:c r="K69" s="9" t="str">
        <x:f>IF(G69&lt;0,"gain",IF(G69&gt;0,"perte","égalité"))</x:f>
        <x:v>perte</x:v>
      </x:c>
      <x:c r="L69" s="9" t="str">
        <x:f>IF(J69&lt;0,"gain",IF(J69&gt;0,"perte","égalité"))</x:f>
        <x:v>perte</x:v>
      </x:c>
      <x:c r="M69" s="11" t="n">
        <x:v>1</x:v>
      </x:c>
      <x:c r="N69" s="11" t="n">
        <x:v>1</x:v>
      </x:c>
      <x:c r="O69" s="9" t="str">
        <x:v>S139</x:v>
      </x:c>
      <x:c r="P69" s="9" t="str">
        <x:v>S140</x:v>
      </x:c>
      <x:c r="Q69" s="9" t="str">
        <x:v>182170d0d43fb3f98684a973ae4f58046a4b1c0b3e3b71958d0f2928f7fba031</x:v>
      </x:c>
      <x:c r="R69" s="9" t="str">
        <x:v>2ced8e3f3c465b5d6d993fba8701eba082e88752308a71c4343ea1b2520cb183</x:v>
      </x:c>
    </x:row>
    <x:row r="70" ht="22" customHeight="1">
      <x:c r="A70" s="5" t="str">
        <x:v>central/16201_08</x:v>
      </x:c>
      <x:c r="B70" s="5" t="str">
        <x:v>central</x:v>
      </x:c>
      <x:c r="C70" s="5" t="str">
        <x:v>rosenbrock/2</x:v>
      </x:c>
      <x:c r="D70" s="10" t="n">
        <x:v>16201</x:v>
      </x:c>
      <x:c r="E70" s="5" t="n">
        <x:v>0.1883897207581687</x:v>
      </x:c>
      <x:c r="F70" s="5" t="n">
        <x:v>0.01106572563634387</x:v>
      </x:c>
      <x:c r="G70" s="5" t="n">
        <x:f>F70-E70</x:f>
        <x:v>-0.17732399512182484</x:v>
      </x:c>
      <x:c r="H70" s="5" t="n">
        <x:v>0.00033205844877067534</x:v>
      </x:c>
      <x:c r="I70" s="5" t="n">
        <x:v>0.0012742529046099935</x:v>
      </x:c>
      <x:c r="J70" s="5" t="n">
        <x:f>I70-H70</x:f>
        <x:v>0.0009421944558393182</x:v>
      </x:c>
      <x:c r="K70" s="5" t="str">
        <x:f>IF(G70&lt;0,"gain",IF(G70&gt;0,"perte","égalité"))</x:f>
        <x:v>gain</x:v>
      </x:c>
      <x:c r="L70" s="5" t="str">
        <x:f>IF(J70&lt;0,"gain",IF(J70&gt;0,"perte","égalité"))</x:f>
        <x:v>perte</x:v>
      </x:c>
      <x:c r="M70" s="10" t="n">
        <x:v>1</x:v>
      </x:c>
      <x:c r="N70" s="10" t="n">
        <x:v>1</x:v>
      </x:c>
      <x:c r="O70" s="5" t="str">
        <x:v>S141</x:v>
      </x:c>
      <x:c r="P70" s="5" t="str">
        <x:v>S142</x:v>
      </x:c>
      <x:c r="Q70" s="5" t="str">
        <x:v>2f2c1509bf090867532297503bfca1ffe1dc15cc8599336188805adc3ab569f4</x:v>
      </x:c>
      <x:c r="R70" s="5" t="str">
        <x:v>8c5233e2b9c68dd86eed66390a19571109a542ce211fd78368affe313f3dcae9</x:v>
      </x:c>
    </x:row>
    <x:row r="71" ht="22" customHeight="1">
      <x:c r="A71" s="9" t="str">
        <x:v>central/16202_08</x:v>
      </x:c>
      <x:c r="B71" s="9" t="str">
        <x:v>central</x:v>
      </x:c>
      <x:c r="C71" s="9" t="str">
        <x:v>rosenbrock/2</x:v>
      </x:c>
      <x:c r="D71" s="11" t="n">
        <x:v>16202</x:v>
      </x:c>
      <x:c r="E71" s="9" t="n">
        <x:v>0.02809769818846075</x:v>
      </x:c>
      <x:c r="F71" s="9" t="n">
        <x:v>0.010120357124137357</x:v>
      </x:c>
      <x:c r="G71" s="9" t="n">
        <x:f>F71-E71</x:f>
        <x:v>-0.017977341064323395</x:v>
      </x:c>
      <x:c r="H71" s="9" t="n">
        <x:v>0.00032271689487375335</x:v>
      </x:c>
      <x:c r="I71" s="9" t="n">
        <x:v>0.0012655114309332864</x:v>
      </x:c>
      <x:c r="J71" s="9" t="n">
        <x:f>I71-H71</x:f>
        <x:v>0.0009427945360595331</x:v>
      </x:c>
      <x:c r="K71" s="9" t="str">
        <x:f>IF(G71&lt;0,"gain",IF(G71&gt;0,"perte","égalité"))</x:f>
        <x:v>gain</x:v>
      </x:c>
      <x:c r="L71" s="9" t="str">
        <x:f>IF(J71&lt;0,"gain",IF(J71&gt;0,"perte","égalité"))</x:f>
        <x:v>perte</x:v>
      </x:c>
      <x:c r="M71" s="11" t="n">
        <x:v>1</x:v>
      </x:c>
      <x:c r="N71" s="11" t="n">
        <x:v>1</x:v>
      </x:c>
      <x:c r="O71" s="9" t="str">
        <x:v>S143</x:v>
      </x:c>
      <x:c r="P71" s="9" t="str">
        <x:v>S144</x:v>
      </x:c>
      <x:c r="Q71" s="9" t="str">
        <x:v>f94eaeaffce6ce056338a454f64a3e018ce6cfd21a660dfc0d8c272f5d0f16ca</x:v>
      </x:c>
      <x:c r="R71" s="9" t="str">
        <x:v>4d01f3968cbd799c779219cca9d14f21df1e31585d315e8f6a22958f888db10c</x:v>
      </x:c>
    </x:row>
    <x:row r="72" ht="22" customHeight="1">
      <x:c r="A72" s="5" t="str">
        <x:v>central/16203_08</x:v>
      </x:c>
      <x:c r="B72" s="5" t="str">
        <x:v>central</x:v>
      </x:c>
      <x:c r="C72" s="5" t="str">
        <x:v>rosenbrock/2</x:v>
      </x:c>
      <x:c r="D72" s="10" t="n">
        <x:v>16203</x:v>
      </x:c>
      <x:c r="E72" s="5" t="n">
        <x:v>0.0048200256347015495</x:v>
      </x:c>
      <x:c r="F72" s="5" t="n">
        <x:v>0.009226594096979847</x:v>
      </x:c>
      <x:c r="G72" s="5" t="n">
        <x:f>F72-E72</x:f>
        <x:v>0.004406568462278298</x:v>
      </x:c>
      <x:c r="H72" s="5" t="n">
        <x:v>0.0012563618518542405</x:v>
      </x:c>
      <x:c r="I72" s="5" t="n">
        <x:v>0.0012563618518542405</x:v>
      </x:c>
      <x:c r="J72" s="5" t="n">
        <x:f>I72-H72</x:f>
        <x:v>0</x:v>
      </x:c>
      <x:c r="K72" s="5" t="str">
        <x:f>IF(G72&lt;0,"gain",IF(G72&gt;0,"perte","égalité"))</x:f>
        <x:v>perte</x:v>
      </x:c>
      <x:c r="L72" s="5" t="str">
        <x:f>IF(J72&lt;0,"gain",IF(J72&gt;0,"perte","égalité"))</x:f>
        <x:v>égalité</x:v>
      </x:c>
      <x:c r="M72" s="10" t="n">
        <x:v>1</x:v>
      </x:c>
      <x:c r="N72" s="10" t="n">
        <x:v>1</x:v>
      </x:c>
      <x:c r="O72" s="5" t="str">
        <x:v>S145</x:v>
      </x:c>
      <x:c r="P72" s="5" t="str">
        <x:v>S146</x:v>
      </x:c>
      <x:c r="Q72" s="5" t="str">
        <x:v>71f5299ed2bb18c7f589b79ef30cc566138220b727790fd82b73f4a9206cfa1b</x:v>
      </x:c>
      <x:c r="R72" s="5" t="str">
        <x:v>d76d42b7700259a4963afaab56d4cd9952a67887f417522efd366de3f9e20ab0</x:v>
      </x:c>
    </x:row>
    <x:row r="73" ht="22" customHeight="1">
      <x:c r="A73" s="9" t="str">
        <x:v>central/16204_08</x:v>
      </x:c>
      <x:c r="B73" s="9" t="str">
        <x:v>central</x:v>
      </x:c>
      <x:c r="C73" s="9" t="str">
        <x:v>rosenbrock/2</x:v>
      </x:c>
      <x:c r="D73" s="11" t="n">
        <x:v>16204</x:v>
      </x:c>
      <x:c r="E73" s="9" t="n">
        <x:v>0.004836883606510812</x:v>
      </x:c>
      <x:c r="F73" s="9" t="n">
        <x:v>0.008404880874434776</x:v>
      </x:c>
      <x:c r="G73" s="9" t="n">
        <x:f>F73-E73</x:f>
        <x:v>0.003567997267923964</x:v>
      </x:c>
      <x:c r="H73" s="9" t="n">
        <x:v>0.0012467710324920364</x:v>
      </x:c>
      <x:c r="I73" s="9" t="n">
        <x:v>0.0012467710324920364</x:v>
      </x:c>
      <x:c r="J73" s="9" t="n">
        <x:f>I73-H73</x:f>
        <x:v>0</x:v>
      </x:c>
      <x:c r="K73" s="9" t="str">
        <x:f>IF(G73&lt;0,"gain",IF(G73&gt;0,"perte","égalité"))</x:f>
        <x:v>perte</x:v>
      </x:c>
      <x:c r="L73" s="9" t="str">
        <x:f>IF(J73&lt;0,"gain",IF(J73&gt;0,"perte","égalité"))</x:f>
        <x:v>égalité</x:v>
      </x:c>
      <x:c r="M73" s="11" t="n">
        <x:v>1</x:v>
      </x:c>
      <x:c r="N73" s="11" t="n">
        <x:v>1</x:v>
      </x:c>
      <x:c r="O73" s="9" t="str">
        <x:v>S147</x:v>
      </x:c>
      <x:c r="P73" s="9" t="str">
        <x:v>S148</x:v>
      </x:c>
      <x:c r="Q73" s="9" t="str">
        <x:v>ffdad347222b761f7269597b8d406e6cede93aa78a8b5e14e60b1ccefc1197a5</x:v>
      </x:c>
      <x:c r="R73" s="9" t="str">
        <x:v>46fe93755adb240f8c32aa8dead950531fb1689055de6d76fed0b14efb628c52</x:v>
      </x:c>
    </x:row>
    <x:row r="74" ht="22" customHeight="1">
      <x:c r="A74" s="5" t="str">
        <x:v>broad/16201_08</x:v>
      </x:c>
      <x:c r="B74" s="5" t="str">
        <x:v>broad</x:v>
      </x:c>
      <x:c r="C74" s="5" t="str">
        <x:v>rosenbrock/2</x:v>
      </x:c>
      <x:c r="D74" s="10" t="n">
        <x:v>16201</x:v>
      </x:c>
      <x:c r="E74" s="5" t="n">
        <x:v>0.1889251122090198</x:v>
      </x:c>
      <x:c r="F74" s="5" t="n">
        <x:v>0.0048804702855240025</x:v>
      </x:c>
      <x:c r="G74" s="5" t="n">
        <x:f>F74-E74</x:f>
        <x:v>-0.18404464192349582</x:v>
      </x:c>
      <x:c r="H74" s="5" t="n">
        <x:v>0.00037640540038827463</x:v>
      </x:c>
      <x:c r="I74" s="5" t="n">
        <x:v>0.001552450631690749</x:v>
      </x:c>
      <x:c r="J74" s="5" t="n">
        <x:f>I74-H74</x:f>
        <x:v>0.0011760452313024743</x:v>
      </x:c>
      <x:c r="K74" s="5" t="str">
        <x:f>IF(G74&lt;0,"gain",IF(G74&gt;0,"perte","égalité"))</x:f>
        <x:v>gain</x:v>
      </x:c>
      <x:c r="L74" s="5" t="str">
        <x:f>IF(J74&lt;0,"gain",IF(J74&gt;0,"perte","égalité"))</x:f>
        <x:v>perte</x:v>
      </x:c>
      <x:c r="M74" s="10" t="n">
        <x:v>1</x:v>
      </x:c>
      <x:c r="N74" s="10" t="n">
        <x:v>1</x:v>
      </x:c>
      <x:c r="O74" s="5" t="str">
        <x:v>S149</x:v>
      </x:c>
      <x:c r="P74" s="5" t="str">
        <x:v>S150</x:v>
      </x:c>
      <x:c r="Q74" s="5" t="str">
        <x:v>2f36cc759934b684a14ffb2335d9c0eebfe0c019d6831b760a57ebdffb55f9ef</x:v>
      </x:c>
      <x:c r="R74" s="5" t="str">
        <x:v>9b986d2b33fcf5ed756eeb298f9b80d6d51f8bd2edd2478cf8eee2c47d27981d</x:v>
      </x:c>
    </x:row>
    <x:row r="75" ht="22" customHeight="1">
      <x:c r="A75" s="9" t="str">
        <x:v>broad/16202_08</x:v>
      </x:c>
      <x:c r="B75" s="9" t="str">
        <x:v>broad</x:v>
      </x:c>
      <x:c r="C75" s="9" t="str">
        <x:v>rosenbrock/2</x:v>
      </x:c>
      <x:c r="D75" s="11" t="n">
        <x:v>16202</x:v>
      </x:c>
      <x:c r="E75" s="9" t="n">
        <x:v>0.034220031094057815</x:v>
      </x:c>
      <x:c r="F75" s="9" t="n">
        <x:v>0.0043225176884044</x:v>
      </x:c>
      <x:c r="G75" s="9" t="n">
        <x:f>F75-E75</x:f>
        <x:v>-0.029897513405653414</x:v>
      </x:c>
      <x:c r="H75" s="9" t="n">
        <x:v>0.0032608469145503287</x:v>
      </x:c>
      <x:c r="I75" s="9" t="n">
        <x:v>0.0016542290567152255</x:v>
      </x:c>
      <x:c r="J75" s="9" t="n">
        <x:f>I75-H75</x:f>
        <x:v>-0.0016066178578351032</x:v>
      </x:c>
      <x:c r="K75" s="9" t="str">
        <x:f>IF(G75&lt;0,"gain",IF(G75&gt;0,"perte","égalité"))</x:f>
        <x:v>gain</x:v>
      </x:c>
      <x:c r="L75" s="9" t="str">
        <x:f>IF(J75&lt;0,"gain",IF(J75&gt;0,"perte","égalité"))</x:f>
        <x:v>gain</x:v>
      </x:c>
      <x:c r="M75" s="11" t="n">
        <x:v>1</x:v>
      </x:c>
      <x:c r="N75" s="11" t="n">
        <x:v>1</x:v>
      </x:c>
      <x:c r="O75" s="9" t="str">
        <x:v>S151</x:v>
      </x:c>
      <x:c r="P75" s="9" t="str">
        <x:v>S152</x:v>
      </x:c>
      <x:c r="Q75" s="9" t="str">
        <x:v>50004b3d379a4775440e3fc8518e6fe732fe9f2ae097a4ae1cdfd53bffc61583</x:v>
      </x:c>
      <x:c r="R75" s="9" t="str">
        <x:v>59f6e3742dffe89033a9f2ea083386145aa5ed1c5a0ea6b10f8f9386386f8af5</x:v>
      </x:c>
    </x:row>
    <x:row r="76" ht="22" customHeight="1">
      <x:c r="A76" s="5" t="str">
        <x:v>broad/16203_08</x:v>
      </x:c>
      <x:c r="B76" s="5" t="str">
        <x:v>broad</x:v>
      </x:c>
      <x:c r="C76" s="5" t="str">
        <x:v>rosenbrock/2</x:v>
      </x:c>
      <x:c r="D76" s="10" t="n">
        <x:v>16203</x:v>
      </x:c>
      <x:c r="E76" s="5" t="n">
        <x:v>0.047630742481678846</x:v>
      </x:c>
      <x:c r="F76" s="5" t="n">
        <x:v>0.0037924816161231008</x:v>
      </x:c>
      <x:c r="G76" s="5" t="n">
        <x:f>F76-E76</x:f>
        <x:v>-0.04383826086555574</x:v>
      </x:c>
      <x:c r="H76" s="5" t="n">
        <x:v>0.0027655759695665166</x:v>
      </x:c>
      <x:c r="I76" s="5" t="n">
        <x:v>0.0017756392284387608</x:v>
      </x:c>
      <x:c r="J76" s="5" t="n">
        <x:f>I76-H76</x:f>
        <x:v>-0.0009899367411277558</x:v>
      </x:c>
      <x:c r="K76" s="5" t="str">
        <x:f>IF(G76&lt;0,"gain",IF(G76&gt;0,"perte","égalité"))</x:f>
        <x:v>gain</x:v>
      </x:c>
      <x:c r="L76" s="5" t="str">
        <x:f>IF(J76&lt;0,"gain",IF(J76&gt;0,"perte","égalité"))</x:f>
        <x:v>gain</x:v>
      </x:c>
      <x:c r="M76" s="10" t="n">
        <x:v>1</x:v>
      </x:c>
      <x:c r="N76" s="10" t="n">
        <x:v>1</x:v>
      </x:c>
      <x:c r="O76" s="5" t="str">
        <x:v>S153</x:v>
      </x:c>
      <x:c r="P76" s="5" t="str">
        <x:v>S154</x:v>
      </x:c>
      <x:c r="Q76" s="5" t="str">
        <x:v>146e4811b362387622148a88e91fadaa424d2e7a0ffc92c0c3646ae88b439fc8</x:v>
      </x:c>
      <x:c r="R76" s="5" t="str">
        <x:v>c3dd988a07bfdb9f48bab522f40befe1af73ffb6f9e7023207a762c0b5bd0a7a</x:v>
      </x:c>
    </x:row>
    <x:row r="77" ht="22" customHeight="1">
      <x:c r="A77" s="9" t="str">
        <x:v>broad/16204_08</x:v>
      </x:c>
      <x:c r="B77" s="9" t="str">
        <x:v>broad</x:v>
      </x:c>
      <x:c r="C77" s="9" t="str">
        <x:v>rosenbrock/2</x:v>
      </x:c>
      <x:c r="D77" s="11" t="n">
        <x:v>16204</x:v>
      </x:c>
      <x:c r="E77" s="9" t="n">
        <x:v>0.0001661485133316477</x:v>
      </x:c>
      <x:c r="F77" s="9" t="n">
        <x:v>0.0032560675399428843</x:v>
      </x:c>
      <x:c r="G77" s="9" t="n">
        <x:f>F77-E77</x:f>
        <x:v>0.0030899190266112367</x:v>
      </x:c>
      <x:c r="H77" s="9" t="n">
        <x:v>0.00005084455965740846</x:v>
      </x:c>
      <x:c r="I77" s="9" t="n">
        <x:v>0.00016448720651771146</x:v>
      </x:c>
      <x:c r="J77" s="9" t="n">
        <x:f>I77-H77</x:f>
        <x:v>0.000113642646860303</x:v>
      </x:c>
      <x:c r="K77" s="9" t="str">
        <x:f>IF(G77&lt;0,"gain",IF(G77&gt;0,"perte","égalité"))</x:f>
        <x:v>perte</x:v>
      </x:c>
      <x:c r="L77" s="9" t="str">
        <x:f>IF(J77&lt;0,"gain",IF(J77&gt;0,"perte","égalité"))</x:f>
        <x:v>perte</x:v>
      </x:c>
      <x:c r="M77" s="11" t="n">
        <x:v>1</x:v>
      </x:c>
      <x:c r="N77" s="11" t="n">
        <x:v>1</x:v>
      </x:c>
      <x:c r="O77" s="9" t="str">
        <x:v>S155</x:v>
      </x:c>
      <x:c r="P77" s="9" t="str">
        <x:v>S156</x:v>
      </x:c>
      <x:c r="Q77" s="9" t="str">
        <x:v>d7246d09c144af190e2406b57a8f6f7b645e395c8cd3a778b18c44e553b335a3</x:v>
      </x:c>
      <x:c r="R77" s="9" t="str">
        <x:v>0486e03ffd50d00992b288294183d8434ea0dd31dc14211a0d76f48643b8724b</x:v>
      </x:c>
    </x:row>
    <x:row r="78" ht="22" customHeight="1">
      <x:c r="A78" s="5" t="str">
        <x:v>central/16201_09</x:v>
      </x:c>
      <x:c r="B78" s="5" t="str">
        <x:v>central</x:v>
      </x:c>
      <x:c r="C78" s="5" t="str">
        <x:v>rosenbrock/2</x:v>
      </x:c>
      <x:c r="D78" s="10" t="n">
        <x:v>16201</x:v>
      </x:c>
      <x:c r="E78" s="5" t="n">
        <x:v>0.22574436553946814</x:v>
      </x:c>
      <x:c r="F78" s="5" t="n">
        <x:v>0.014005406461037035</x:v>
      </x:c>
      <x:c r="G78" s="5" t="n">
        <x:f>F78-E78</x:f>
        <x:v>-0.2117389590784311</x:v>
      </x:c>
      <x:c r="H78" s="5" t="n">
        <x:v>0.00003470703704651949</x:v>
      </x:c>
      <x:c r="I78" s="5" t="n">
        <x:v>0.00003155073514163991</x:v>
      </x:c>
      <x:c r="J78" s="5" t="n">
        <x:f>I78-H78</x:f>
        <x:v>-0.0000031563019048795767</x:v>
      </x:c>
      <x:c r="K78" s="5" t="str">
        <x:f>IF(G78&lt;0,"gain",IF(G78&gt;0,"perte","égalité"))</x:f>
        <x:v>gain</x:v>
      </x:c>
      <x:c r="L78" s="5" t="str">
        <x:f>IF(J78&lt;0,"gain",IF(J78&gt;0,"perte","égalité"))</x:f>
        <x:v>gain</x:v>
      </x:c>
      <x:c r="M78" s="10" t="n">
        <x:v>1</x:v>
      </x:c>
      <x:c r="N78" s="10" t="n">
        <x:v>1</x:v>
      </x:c>
      <x:c r="O78" s="5" t="str">
        <x:v>S157</x:v>
      </x:c>
      <x:c r="P78" s="5" t="str">
        <x:v>S158</x:v>
      </x:c>
      <x:c r="Q78" s="5" t="str">
        <x:v>d4ff5e9c24a02c90c3c3ed585ece04efa34a66599a5553470ad78fd179f7b12a</x:v>
      </x:c>
      <x:c r="R78" s="5" t="str">
        <x:v>cee6a93758c2d1a0f99c0b1468bb44f0ce09028f21a10213396f086dbdaf9ddd</x:v>
      </x:c>
    </x:row>
    <x:row r="79" ht="22" customHeight="1">
      <x:c r="A79" s="9" t="str">
        <x:v>central/16202_09</x:v>
      </x:c>
      <x:c r="B79" s="9" t="str">
        <x:v>central</x:v>
      </x:c>
      <x:c r="C79" s="9" t="str">
        <x:v>rosenbrock/2</x:v>
      </x:c>
      <x:c r="D79" s="11" t="n">
        <x:v>16202</x:v>
      </x:c>
      <x:c r="E79" s="9" t="n">
        <x:v>0.0013313842964219596</x:v>
      </x:c>
      <x:c r="F79" s="9" t="n">
        <x:v>0.009755169168757587</x:v>
      </x:c>
      <x:c r="G79" s="9" t="n">
        <x:f>F79-E79</x:f>
        <x:v>0.008423784872335627</x:v>
      </x:c>
      <x:c r="H79" s="9" t="n">
        <x:v>0.000017008419209118825</x:v>
      </x:c>
      <x:c r="I79" s="9" t="n">
        <x:v>0.000024689276131325064</x:v>
      </x:c>
      <x:c r="J79" s="9" t="n">
        <x:f>I79-H79</x:f>
        <x:v>0.00000768085692220624</x:v>
      </x:c>
      <x:c r="K79" s="9" t="str">
        <x:f>IF(G79&lt;0,"gain",IF(G79&gt;0,"perte","égalité"))</x:f>
        <x:v>perte</x:v>
      </x:c>
      <x:c r="L79" s="9" t="str">
        <x:f>IF(J79&lt;0,"gain",IF(J79&gt;0,"perte","égalité"))</x:f>
        <x:v>perte</x:v>
      </x:c>
      <x:c r="M79" s="11" t="n">
        <x:v>1</x:v>
      </x:c>
      <x:c r="N79" s="11" t="n">
        <x:v>1</x:v>
      </x:c>
      <x:c r="O79" s="9" t="str">
        <x:v>S159</x:v>
      </x:c>
      <x:c r="P79" s="9" t="str">
        <x:v>S160</x:v>
      </x:c>
      <x:c r="Q79" s="9" t="str">
        <x:v>e473b63428c9c9d09ca3f394d12e91f14a2c5e1bcc9bfd97d51b3355659f85af</x:v>
      </x:c>
      <x:c r="R79" s="9" t="str">
        <x:v>42e7abb1deb5d2707672231dd64ebb0eb2cb24803d7cac128212d12cc6b55908</x:v>
      </x:c>
    </x:row>
    <x:row r="80" ht="22" customHeight="1">
      <x:c r="A80" s="5" t="str">
        <x:v>central/16203_09</x:v>
      </x:c>
      <x:c r="B80" s="5" t="str">
        <x:v>central</x:v>
      </x:c>
      <x:c r="C80" s="5" t="str">
        <x:v>rosenbrock/2</x:v>
      </x:c>
      <x:c r="D80" s="10" t="n">
        <x:v>16203</x:v>
      </x:c>
      <x:c r="E80" s="5" t="n">
        <x:v>0.0016343683875179908</x:v>
      </x:c>
      <x:c r="F80" s="5" t="n">
        <x:v>0.006047520992000602</x:v>
      </x:c>
      <x:c r="G80" s="5" t="n">
        <x:f>F80-E80</x:f>
        <x:v>0.004413152604482612</x:v>
      </x:c>
      <x:c r="H80" s="5" t="n">
        <x:v>0.00003470703704651949</x:v>
      </x:c>
      <x:c r="I80" s="5" t="n">
        <x:v>0.00001336572736314467</x:v>
      </x:c>
      <x:c r="J80" s="5" t="n">
        <x:f>I80-H80</x:f>
        <x:v>-0.00002134130968337482</x:v>
      </x:c>
      <x:c r="K80" s="5" t="str">
        <x:f>IF(G80&lt;0,"gain",IF(G80&gt;0,"perte","égalité"))</x:f>
        <x:v>perte</x:v>
      </x:c>
      <x:c r="L80" s="5" t="str">
        <x:f>IF(J80&lt;0,"gain",IF(J80&gt;0,"perte","égalité"))</x:f>
        <x:v>gain</x:v>
      </x:c>
      <x:c r="M80" s="10" t="n">
        <x:v>1</x:v>
      </x:c>
      <x:c r="N80" s="10" t="n">
        <x:v>1</x:v>
      </x:c>
      <x:c r="O80" s="5" t="str">
        <x:v>S161</x:v>
      </x:c>
      <x:c r="P80" s="5" t="str">
        <x:v>S162</x:v>
      </x:c>
      <x:c r="Q80" s="5" t="str">
        <x:v>5f5a8602b0221839a716f68ed98bec16ffa74c33ef312037492d9de10882313b</x:v>
      </x:c>
      <x:c r="R80" s="5" t="str">
        <x:v>a2dd892e7cf7a6709b0ec201cba827b63012971487fa0929ba44eac39f207cd3</x:v>
      </x:c>
    </x:row>
    <x:row r="81" ht="22" customHeight="1">
      <x:c r="A81" s="9" t="str">
        <x:v>central/16204_09</x:v>
      </x:c>
      <x:c r="B81" s="9" t="str">
        <x:v>central</x:v>
      </x:c>
      <x:c r="C81" s="9" t="str">
        <x:v>rosenbrock/2</x:v>
      </x:c>
      <x:c r="D81" s="11" t="n">
        <x:v>16204</x:v>
      </x:c>
      <x:c r="E81" s="9" t="n">
        <x:v>0.059004791598421</x:v>
      </x:c>
      <x:c r="F81" s="9" t="n">
        <x:v>0.010257104815734337</x:v>
      </x:c>
      <x:c r="G81" s="9" t="n">
        <x:f>F81-E81</x:f>
        <x:v>-0.048747686782686664</x:v>
      </x:c>
      <x:c r="H81" s="9" t="n">
        <x:v>0.00003470703704651949</x:v>
      </x:c>
      <x:c r="I81" s="9" t="n">
        <x:v>0.000023577253450816454</x:v>
      </x:c>
      <x:c r="J81" s="9" t="n">
        <x:f>I81-H81</x:f>
        <x:v>-0.000011129783595703035</x:v>
      </x:c>
      <x:c r="K81" s="9" t="str">
        <x:f>IF(G81&lt;0,"gain",IF(G81&gt;0,"perte","égalité"))</x:f>
        <x:v>gain</x:v>
      </x:c>
      <x:c r="L81" s="9" t="str">
        <x:f>IF(J81&lt;0,"gain",IF(J81&gt;0,"perte","égalité"))</x:f>
        <x:v>gain</x:v>
      </x:c>
      <x:c r="M81" s="11" t="n">
        <x:v>1</x:v>
      </x:c>
      <x:c r="N81" s="11" t="n">
        <x:v>1</x:v>
      </x:c>
      <x:c r="O81" s="9" t="str">
        <x:v>S163</x:v>
      </x:c>
      <x:c r="P81" s="9" t="str">
        <x:v>S164</x:v>
      </x:c>
      <x:c r="Q81" s="9" t="str">
        <x:v>4a49288da86807fc6c4025a55684ca9bedee0d80bbea1d3b036f5ab9491bb384</x:v>
      </x:c>
      <x:c r="R81" s="9" t="str">
        <x:v>147f43f38c8bc72c90e45e13054907d63aa0a72bc106070a4ec7c721bcd2929d</x:v>
      </x:c>
    </x:row>
    <x:row r="82" ht="22" customHeight="1">
      <x:c r="A82" s="5" t="str">
        <x:v>broad/16201_09</x:v>
      </x:c>
      <x:c r="B82" s="5" t="str">
        <x:v>broad</x:v>
      </x:c>
      <x:c r="C82" s="5" t="str">
        <x:v>rosenbrock/2</x:v>
      </x:c>
      <x:c r="D82" s="10" t="n">
        <x:v>16201</x:v>
      </x:c>
      <x:c r="E82" s="5" t="n">
        <x:v>0.35505155409448086</x:v>
      </x:c>
      <x:c r="F82" s="5" t="n">
        <x:v>0.07201547398371885</x:v>
      </x:c>
      <x:c r="G82" s="5" t="n">
        <x:f>F82-E82</x:f>
        <x:v>-0.283036080110762</x:v>
      </x:c>
      <x:c r="H82" s="5" t="n">
        <x:v>0.00007123957483181843</x:v>
      </x:c>
      <x:c r="I82" s="5" t="n">
        <x:v>0.000031319397964787036</x:v>
      </x:c>
      <x:c r="J82" s="5" t="n">
        <x:f>I82-H82</x:f>
        <x:v>-0.000039920176867031394</x:v>
      </x:c>
      <x:c r="K82" s="5" t="str">
        <x:f>IF(G82&lt;0,"gain",IF(G82&gt;0,"perte","égalité"))</x:f>
        <x:v>gain</x:v>
      </x:c>
      <x:c r="L82" s="5" t="str">
        <x:f>IF(J82&lt;0,"gain",IF(J82&gt;0,"perte","égalité"))</x:f>
        <x:v>gain</x:v>
      </x:c>
      <x:c r="M82" s="10" t="n">
        <x:v>1</x:v>
      </x:c>
      <x:c r="N82" s="10" t="n">
        <x:v>1</x:v>
      </x:c>
      <x:c r="O82" s="5" t="str">
        <x:v>S165</x:v>
      </x:c>
      <x:c r="P82" s="5" t="str">
        <x:v>S166</x:v>
      </x:c>
      <x:c r="Q82" s="5" t="str">
        <x:v>243a19ac8694766e92c5dcd7cedb0533763fd1a5af3fbeffc2cf987e518359fb</x:v>
      </x:c>
      <x:c r="R82" s="5" t="str">
        <x:v>55341a9f31e1bbb5911098d9185baea9964bb23f047ff20941e7ce3b059713b8</x:v>
      </x:c>
    </x:row>
    <x:row r="83" ht="22" customHeight="1">
      <x:c r="A83" s="9" t="str">
        <x:v>broad/16202_09</x:v>
      </x:c>
      <x:c r="B83" s="9" t="str">
        <x:v>broad</x:v>
      </x:c>
      <x:c r="C83" s="9" t="str">
        <x:v>rosenbrock/2</x:v>
      </x:c>
      <x:c r="D83" s="11" t="n">
        <x:v>16202</x:v>
      </x:c>
      <x:c r="E83" s="9" t="n">
        <x:v>0.026639429594737498</x:v>
      </x:c>
      <x:c r="F83" s="9" t="n">
        <x:v>0.05560780591135041</x:v>
      </x:c>
      <x:c r="G83" s="9" t="n">
        <x:f>F83-E83</x:f>
        <x:v>0.02896837631661291</x:v>
      </x:c>
      <x:c r="H83" s="9" t="n">
        <x:v>0.0000020697014678629476</x:v>
      </x:c>
      <x:c r="I83" s="9" t="n">
        <x:v>0.000007036022407623256</x:v>
      </x:c>
      <x:c r="J83" s="9" t="n">
        <x:f>I83-H83</x:f>
        <x:v>0.000004966320939760309</x:v>
      </x:c>
      <x:c r="K83" s="9" t="str">
        <x:f>IF(G83&lt;0,"gain",IF(G83&gt;0,"perte","égalité"))</x:f>
        <x:v>perte</x:v>
      </x:c>
      <x:c r="L83" s="9" t="str">
        <x:f>IF(J83&lt;0,"gain",IF(J83&gt;0,"perte","égalité"))</x:f>
        <x:v>perte</x:v>
      </x:c>
      <x:c r="M83" s="11" t="n">
        <x:v>1</x:v>
      </x:c>
      <x:c r="N83" s="11" t="n">
        <x:v>1</x:v>
      </x:c>
      <x:c r="O83" s="9" t="str">
        <x:v>S167</x:v>
      </x:c>
      <x:c r="P83" s="9" t="str">
        <x:v>S168</x:v>
      </x:c>
      <x:c r="Q83" s="9" t="str">
        <x:v>30529fb67242456d2968fbf8edc77a4e83ac09632ce102eabd5d6ddab7f91ddf</x:v>
      </x:c>
      <x:c r="R83" s="9" t="str">
        <x:v>f15e28161bd6e1b4b95b3a7dc3d489b5029c69b9354074fce92c2f74fd63640e</x:v>
      </x:c>
    </x:row>
    <x:row r="84" ht="22" customHeight="1">
      <x:c r="A84" s="5" t="str">
        <x:v>broad/16203_09</x:v>
      </x:c>
      <x:c r="B84" s="5" t="str">
        <x:v>broad</x:v>
      </x:c>
      <x:c r="C84" s="5" t="str">
        <x:v>rosenbrock/2</x:v>
      </x:c>
      <x:c r="D84" s="10" t="n">
        <x:v>16203</x:v>
      </x:c>
      <x:c r="E84" s="5" t="n">
        <x:v>0.0006179358476389711</x:v>
      </x:c>
      <x:c r="F84" s="5" t="n">
        <x:v>0.03917659779397026</x:v>
      </x:c>
      <x:c r="G84" s="5" t="n">
        <x:f>F84-E84</x:f>
        <x:v>0.038558661946331285</x:v>
      </x:c>
      <x:c r="H84" s="5" t="n">
        <x:v>0.000018780907102482748</x:v>
      </x:c>
      <x:c r="I84" s="5" t="n">
        <x:v>0.000002533955186293502</x:v>
      </x:c>
      <x:c r="J84" s="5" t="n">
        <x:f>I84-H84</x:f>
        <x:v>-0.000016246951916189245</x:v>
      </x:c>
      <x:c r="K84" s="5" t="str">
        <x:f>IF(G84&lt;0,"gain",IF(G84&gt;0,"perte","égalité"))</x:f>
        <x:v>perte</x:v>
      </x:c>
      <x:c r="L84" s="5" t="str">
        <x:f>IF(J84&lt;0,"gain",IF(J84&gt;0,"perte","égalité"))</x:f>
        <x:v>gain</x:v>
      </x:c>
      <x:c r="M84" s="10" t="n">
        <x:v>1</x:v>
      </x:c>
      <x:c r="N84" s="10" t="n">
        <x:v>1</x:v>
      </x:c>
      <x:c r="O84" s="5" t="str">
        <x:v>S169</x:v>
      </x:c>
      <x:c r="P84" s="5" t="str">
        <x:v>S170</x:v>
      </x:c>
      <x:c r="Q84" s="5" t="str">
        <x:v>88f830b60be3becd5ac72165afc56476fc8a86e357bf52cffe6441d295f6d9be</x:v>
      </x:c>
      <x:c r="R84" s="5" t="str">
        <x:v>f1ad103f1336746fcc781f8fcdd6495b8c8c38d611193e7a08385728ea7b0702</x:v>
      </x:c>
    </x:row>
    <x:row r="85" ht="22" customHeight="1">
      <x:c r="A85" s="9" t="str">
        <x:v>broad/16204_09</x:v>
      </x:c>
      <x:c r="B85" s="9" t="str">
        <x:v>broad</x:v>
      </x:c>
      <x:c r="C85" s="9" t="str">
        <x:v>rosenbrock/2</x:v>
      </x:c>
      <x:c r="D85" s="11" t="n">
        <x:v>16204</x:v>
      </x:c>
      <x:c r="E85" s="9" t="n">
        <x:v>0.16310453116254073</x:v>
      </x:c>
      <x:c r="F85" s="9" t="n">
        <x:v>0.05681274077315985</x:v>
      </x:c>
      <x:c r="G85" s="9" t="n">
        <x:f>F85-E85</x:f>
        <x:v>-0.10629179038938089</x:v>
      </x:c>
      <x:c r="H85" s="9" t="n">
        <x:v>0.000007510209687017847</x:v>
      </x:c>
      <x:c r="I85" s="9" t="n">
        <x:v>0.00003185511882536952</x:v>
      </x:c>
      <x:c r="J85" s="9" t="n">
        <x:f>I85-H85</x:f>
        <x:v>0.000024344909138351674</x:v>
      </x:c>
      <x:c r="K85" s="9" t="str">
        <x:f>IF(G85&lt;0,"gain",IF(G85&gt;0,"perte","égalité"))</x:f>
        <x:v>gain</x:v>
      </x:c>
      <x:c r="L85" s="9" t="str">
        <x:f>IF(J85&lt;0,"gain",IF(J85&gt;0,"perte","égalité"))</x:f>
        <x:v>perte</x:v>
      </x:c>
      <x:c r="M85" s="11" t="n">
        <x:v>1</x:v>
      </x:c>
      <x:c r="N85" s="11" t="n">
        <x:v>1</x:v>
      </x:c>
      <x:c r="O85" s="9" t="str">
        <x:v>S171</x:v>
      </x:c>
      <x:c r="P85" s="9" t="str">
        <x:v>S172</x:v>
      </x:c>
      <x:c r="Q85" s="9" t="str">
        <x:v>0b47b3a1a0ab2fa835048229ac50b0796de45e8053a8fec6121ba04d42d8bf8a</x:v>
      </x:c>
      <x:c r="R85" s="9" t="str">
        <x:v>f44ce44a97f61d5d7f8007d94faf54a3becd1b2b98b013600b32a033494c9ff3</x:v>
      </x:c>
    </x:row>
    <x:row r="86" ht="22" customHeight="1">
      <x:c r="A86" s="5" t="str">
        <x:v>central/16201_10</x:v>
      </x:c>
      <x:c r="B86" s="5" t="str">
        <x:v>central</x:v>
      </x:c>
      <x:c r="C86" s="5" t="str">
        <x:v>rosenbrock/4</x:v>
      </x:c>
      <x:c r="D86" s="10" t="n">
        <x:v>16201</x:v>
      </x:c>
      <x:c r="E86" s="5" t="n">
        <x:v>0.31206142565020895</x:v>
      </x:c>
      <x:c r="F86" s="5" t="n">
        <x:v>0.012920215965774268</x:v>
      </x:c>
      <x:c r="G86" s="5" t="n">
        <x:f>F86-E86</x:f>
        <x:v>-0.2991412096844347</x:v>
      </x:c>
      <x:c r="H86" s="5" t="n">
        <x:v>0.006003470441615794</x:v>
      </x:c>
      <x:c r="I86" s="5" t="n">
        <x:v>0.0009897101351469119</x:v>
      </x:c>
      <x:c r="J86" s="5" t="n">
        <x:f>I86-H86</x:f>
        <x:v>-0.005013760306468882</x:v>
      </x:c>
      <x:c r="K86" s="5" t="str">
        <x:f>IF(G86&lt;0,"gain",IF(G86&gt;0,"perte","égalité"))</x:f>
        <x:v>gain</x:v>
      </x:c>
      <x:c r="L86" s="5" t="str">
        <x:f>IF(J86&lt;0,"gain",IF(J86&gt;0,"perte","égalité"))</x:f>
        <x:v>gain</x:v>
      </x:c>
      <x:c r="M86" s="10" t="n">
        <x:v>1</x:v>
      </x:c>
      <x:c r="N86" s="10" t="n">
        <x:v>1</x:v>
      </x:c>
      <x:c r="O86" s="5" t="str">
        <x:v>S173</x:v>
      </x:c>
      <x:c r="P86" s="5" t="str">
        <x:v>S174</x:v>
      </x:c>
      <x:c r="Q86" s="5" t="str">
        <x:v>5e09a7fe883bef32b5458c90e3f58edf70002535df66335887b48f218959aec7</x:v>
      </x:c>
      <x:c r="R86" s="5" t="str">
        <x:v>c174aa0ffeb447cae70f3daf9591a713929eb8676f47e377b33e51b45075015b</x:v>
      </x:c>
    </x:row>
    <x:row r="87" ht="22" customHeight="1">
      <x:c r="A87" s="9" t="str">
        <x:v>central/16202_10</x:v>
      </x:c>
      <x:c r="B87" s="9" t="str">
        <x:v>central</x:v>
      </x:c>
      <x:c r="C87" s="9" t="str">
        <x:v>rosenbrock/4</x:v>
      </x:c>
      <x:c r="D87" s="11" t="n">
        <x:v>16202</x:v>
      </x:c>
      <x:c r="E87" s="9" t="n">
        <x:v>0.00956022353471444</x:v>
      </x:c>
      <x:c r="F87" s="9" t="n">
        <x:v>0.009580329858786535</x:v>
      </x:c>
      <x:c r="G87" s="9" t="n">
        <x:f>F87-E87</x:f>
        <x:v>0.00002010632407209445</x:v>
      </x:c>
      <x:c r="H87" s="9" t="n">
        <x:v>0.00557407397751481</x:v>
      </x:c>
      <x:c r="I87" s="9" t="n">
        <x:v>0.0008602406521861382</x:v>
      </x:c>
      <x:c r="J87" s="9" t="n">
        <x:f>I87-H87</x:f>
        <x:v>-0.004713833325328672</x:v>
      </x:c>
      <x:c r="K87" s="9" t="str">
        <x:f>IF(G87&lt;0,"gain",IF(G87&gt;0,"perte","égalité"))</x:f>
        <x:v>perte</x:v>
      </x:c>
      <x:c r="L87" s="9" t="str">
        <x:f>IF(J87&lt;0,"gain",IF(J87&gt;0,"perte","égalité"))</x:f>
        <x:v>gain</x:v>
      </x:c>
      <x:c r="M87" s="11" t="n">
        <x:v>1</x:v>
      </x:c>
      <x:c r="N87" s="11" t="n">
        <x:v>1</x:v>
      </x:c>
      <x:c r="O87" s="9" t="str">
        <x:v>S175</x:v>
      </x:c>
      <x:c r="P87" s="9" t="str">
        <x:v>S176</x:v>
      </x:c>
      <x:c r="Q87" s="9" t="str">
        <x:v>5c45a3076dd99c36c585dcc9b761525225313db48500bba1d5c3f30a98d5b7d3</x:v>
      </x:c>
      <x:c r="R87" s="9" t="str">
        <x:v>04a38556472bed2282fe36696a1c8791b66003fd7d46f7500b8e79b062a44b03</x:v>
      </x:c>
    </x:row>
    <x:row r="88" ht="22" customHeight="1">
      <x:c r="A88" s="5" t="str">
        <x:v>central/16203_10</x:v>
      </x:c>
      <x:c r="B88" s="5" t="str">
        <x:v>central</x:v>
      </x:c>
      <x:c r="C88" s="5" t="str">
        <x:v>rosenbrock/4</x:v>
      </x:c>
      <x:c r="D88" s="10" t="n">
        <x:v>16203</x:v>
      </x:c>
      <x:c r="E88" s="5" t="n">
        <x:v>0.14287487870294371</x:v>
      </x:c>
      <x:c r="F88" s="5" t="n">
        <x:v>0.006269831607048201</x:v>
      </x:c>
      <x:c r="G88" s="5" t="n">
        <x:f>F88-E88</x:f>
        <x:v>-0.13660504709589552</x:v>
      </x:c>
      <x:c r="H88" s="5" t="n">
        <x:v>0.019364945061190453</x:v>
      </x:c>
      <x:c r="I88" s="5" t="n">
        <x:v>0.0007754846782901606</x:v>
      </x:c>
      <x:c r="J88" s="5" t="n">
        <x:f>I88-H88</x:f>
        <x:v>-0.018589460382900293</x:v>
      </x:c>
      <x:c r="K88" s="5" t="str">
        <x:f>IF(G88&lt;0,"gain",IF(G88&gt;0,"perte","égalité"))</x:f>
        <x:v>gain</x:v>
      </x:c>
      <x:c r="L88" s="5" t="str">
        <x:f>IF(J88&lt;0,"gain",IF(J88&gt;0,"perte","égalité"))</x:f>
        <x:v>gain</x:v>
      </x:c>
      <x:c r="M88" s="10" t="n">
        <x:v>1</x:v>
      </x:c>
      <x:c r="N88" s="10" t="n">
        <x:v>1</x:v>
      </x:c>
      <x:c r="O88" s="5" t="str">
        <x:v>S177</x:v>
      </x:c>
      <x:c r="P88" s="5" t="str">
        <x:v>S178</x:v>
      </x:c>
      <x:c r="Q88" s="5" t="str">
        <x:v>6b76e98ae3e605ef787c393bede6dd5d4451c4e5fe4afe4cb615eb00bab30924</x:v>
      </x:c>
      <x:c r="R88" s="5" t="str">
        <x:v>71a8d08b32096e31df5043275d5e0eef2d4def727890d8272f7b4c033c2a648a</x:v>
      </x:c>
    </x:row>
    <x:row r="89" ht="22" customHeight="1">
      <x:c r="A89" s="9" t="str">
        <x:v>central/16204_10</x:v>
      </x:c>
      <x:c r="B89" s="9" t="str">
        <x:v>central</x:v>
      </x:c>
      <x:c r="C89" s="9" t="str">
        <x:v>rosenbrock/4</x:v>
      </x:c>
      <x:c r="D89" s="11" t="n">
        <x:v>16204</x:v>
      </x:c>
      <x:c r="E89" s="9" t="n">
        <x:v>0.05178730319107236</x:v>
      </x:c>
      <x:c r="F89" s="9" t="n">
        <x:v>0.015702712899555073</x:v>
      </x:c>
      <x:c r="G89" s="9" t="n">
        <x:f>F89-E89</x:f>
        <x:v>-0.03608459029151728</x:v>
      </x:c>
      <x:c r="H89" s="9" t="n">
        <x:v>0.0009731623597538259</x:v>
      </x:c>
      <x:c r="I89" s="9" t="n">
        <x:v>0.00057941712127128</x:v>
      </x:c>
      <x:c r="J89" s="9" t="n">
        <x:f>I89-H89</x:f>
        <x:v>-0.0003937452384825459</x:v>
      </x:c>
      <x:c r="K89" s="9" t="str">
        <x:f>IF(G89&lt;0,"gain",IF(G89&gt;0,"perte","égalité"))</x:f>
        <x:v>gain</x:v>
      </x:c>
      <x:c r="L89" s="9" t="str">
        <x:f>IF(J89&lt;0,"gain",IF(J89&gt;0,"perte","égalité"))</x:f>
        <x:v>gain</x:v>
      </x:c>
      <x:c r="M89" s="11" t="n">
        <x:v>1</x:v>
      </x:c>
      <x:c r="N89" s="11" t="n">
        <x:v>1</x:v>
      </x:c>
      <x:c r="O89" s="9" t="str">
        <x:v>S179</x:v>
      </x:c>
      <x:c r="P89" s="9" t="str">
        <x:v>S180</x:v>
      </x:c>
      <x:c r="Q89" s="9" t="str">
        <x:v>f51e9b0617b477b6a51db98ba111bc38d30ddbaa0ab8735ad43da0db2b975996</x:v>
      </x:c>
      <x:c r="R89" s="9" t="str">
        <x:v>3a225086b703f532591d4b6b7e9bfeb633c9eb41ce052509dfc42864433e8afd</x:v>
      </x:c>
    </x:row>
    <x:row r="90" ht="22" customHeight="1">
      <x:c r="A90" s="5" t="str">
        <x:v>broad/16201_10</x:v>
      </x:c>
      <x:c r="B90" s="5" t="str">
        <x:v>broad</x:v>
      </x:c>
      <x:c r="C90" s="5" t="str">
        <x:v>rosenbrock/4</x:v>
      </x:c>
      <x:c r="D90" s="10" t="n">
        <x:v>16201</x:v>
      </x:c>
      <x:c r="E90" s="5" t="n">
        <x:v>0.318575818207123</x:v>
      </x:c>
      <x:c r="F90" s="5" t="n">
        <x:v>0.050252189388887356</x:v>
      </x:c>
      <x:c r="G90" s="5" t="n">
        <x:f>F90-E90</x:f>
        <x:v>-0.2683236288182356</x:v>
      </x:c>
      <x:c r="H90" s="5" t="n">
        <x:v>0.002867849713421032</x:v>
      </x:c>
      <x:c r="I90" s="5" t="n">
        <x:v>0.0013259016858786453</x:v>
      </x:c>
      <x:c r="J90" s="5" t="n">
        <x:f>I90-H90</x:f>
        <x:v>-0.0015419480275423866</x:v>
      </x:c>
      <x:c r="K90" s="5" t="str">
        <x:f>IF(G90&lt;0,"gain",IF(G90&gt;0,"perte","égalité"))</x:f>
        <x:v>gain</x:v>
      </x:c>
      <x:c r="L90" s="5" t="str">
        <x:f>IF(J90&lt;0,"gain",IF(J90&gt;0,"perte","égalité"))</x:f>
        <x:v>gain</x:v>
      </x:c>
      <x:c r="M90" s="10" t="n">
        <x:v>1</x:v>
      </x:c>
      <x:c r="N90" s="10" t="n">
        <x:v>1</x:v>
      </x:c>
      <x:c r="O90" s="5" t="str">
        <x:v>S181</x:v>
      </x:c>
      <x:c r="P90" s="5" t="str">
        <x:v>S182</x:v>
      </x:c>
      <x:c r="Q90" s="5" t="str">
        <x:v>d538c0ca5506826e163e1dcf67f685c9b08263c17a36d07743dbfb12dfa69842</x:v>
      </x:c>
      <x:c r="R90" s="5" t="str">
        <x:v>5fdb193f6f843c85a3fd4a71cd81b0ffea8b31434571bd486dcd2a330d79e291</x:v>
      </x:c>
    </x:row>
    <x:row r="91" ht="22" customHeight="1">
      <x:c r="A91" s="9" t="str">
        <x:v>broad/16202_10</x:v>
      </x:c>
      <x:c r="B91" s="9" t="str">
        <x:v>broad</x:v>
      </x:c>
      <x:c r="C91" s="9" t="str">
        <x:v>rosenbrock/4</x:v>
      </x:c>
      <x:c r="D91" s="11" t="n">
        <x:v>16202</x:v>
      </x:c>
      <x:c r="E91" s="9" t="n">
        <x:v>0.019991936856564564</x:v>
      </x:c>
      <x:c r="F91" s="9" t="n">
        <x:v>0.0397258929850803</x:v>
      </x:c>
      <x:c r="G91" s="9" t="n">
        <x:f>F91-E91</x:f>
        <x:v>0.019733956128515737</x:v>
      </x:c>
      <x:c r="H91" s="9" t="n">
        <x:v>0.0005998179047597425</x:v>
      </x:c>
      <x:c r="I91" s="9" t="n">
        <x:v>0.001337125245752953</x:v>
      </x:c>
      <x:c r="J91" s="9" t="n">
        <x:f>I91-H91</x:f>
        <x:v>0.0007373073409932104</x:v>
      </x:c>
      <x:c r="K91" s="9" t="str">
        <x:f>IF(G91&lt;0,"gain",IF(G91&gt;0,"perte","égalité"))</x:f>
        <x:v>perte</x:v>
      </x:c>
      <x:c r="L91" s="9" t="str">
        <x:f>IF(J91&lt;0,"gain",IF(J91&gt;0,"perte","égalité"))</x:f>
        <x:v>perte</x:v>
      </x:c>
      <x:c r="M91" s="11" t="n">
        <x:v>1</x:v>
      </x:c>
      <x:c r="N91" s="11" t="n">
        <x:v>1</x:v>
      </x:c>
      <x:c r="O91" s="9" t="str">
        <x:v>S183</x:v>
      </x:c>
      <x:c r="P91" s="9" t="str">
        <x:v>S184</x:v>
      </x:c>
      <x:c r="Q91" s="9" t="str">
        <x:v>6af7f126b1c2e426f78f9e3212854f1f4bd8577743e038584d5f329fb60badbb</x:v>
      </x:c>
      <x:c r="R91" s="9" t="str">
        <x:v>54f5cbe1b8822718e29c9da82ecd7d72d5649426d7a8980798f18812e34a723e</x:v>
      </x:c>
    </x:row>
    <x:row r="92" ht="22" customHeight="1">
      <x:c r="A92" s="5" t="str">
        <x:v>broad/16203_10</x:v>
      </x:c>
      <x:c r="B92" s="5" t="str">
        <x:v>broad</x:v>
      </x:c>
      <x:c r="C92" s="5" t="str">
        <x:v>rosenbrock/4</x:v>
      </x:c>
      <x:c r="D92" s="10" t="n">
        <x:v>16203</x:v>
      </x:c>
      <x:c r="E92" s="5" t="n">
        <x:v>0.005672673234311386</x:v>
      </x:c>
      <x:c r="F92" s="5" t="n">
        <x:v>0.029214051063328132</x:v>
      </x:c>
      <x:c r="G92" s="5" t="n">
        <x:f>F92-E92</x:f>
        <x:v>0.023541377829016746</x:v>
      </x:c>
      <x:c r="H92" s="5" t="n">
        <x:v>0.0005227328178596935</x:v>
      </x:c>
      <x:c r="I92" s="5" t="n">
        <x:v>0.0013562103727036835</x:v>
      </x:c>
      <x:c r="J92" s="5" t="n">
        <x:f>I92-H92</x:f>
        <x:v>0.00083347755484399</x:v>
      </x:c>
      <x:c r="K92" s="5" t="str">
        <x:f>IF(G92&lt;0,"gain",IF(G92&gt;0,"perte","égalité"))</x:f>
        <x:v>perte</x:v>
      </x:c>
      <x:c r="L92" s="5" t="str">
        <x:f>IF(J92&lt;0,"gain",IF(J92&gt;0,"perte","égalité"))</x:f>
        <x:v>perte</x:v>
      </x:c>
      <x:c r="M92" s="10" t="n">
        <x:v>1</x:v>
      </x:c>
      <x:c r="N92" s="10" t="n">
        <x:v>1</x:v>
      </x:c>
      <x:c r="O92" s="5" t="str">
        <x:v>S185</x:v>
      </x:c>
      <x:c r="P92" s="5" t="str">
        <x:v>S186</x:v>
      </x:c>
      <x:c r="Q92" s="5" t="str">
        <x:v>ed9baf6c51d5f651ba4912e99883a0661356ac08b05ebd3af4618be4b3396137</x:v>
      </x:c>
      <x:c r="R92" s="5" t="str">
        <x:v>c0ed9290bf4f79a8121ef8b333e8ccdcf447fe83a1ae3d6fe8c584277c9f5801</x:v>
      </x:c>
    </x:row>
    <x:row r="93" ht="22" customHeight="1">
      <x:c r="A93" s="9" t="str">
        <x:v>broad/16204_10</x:v>
      </x:c>
      <x:c r="B93" s="9" t="str">
        <x:v>broad</x:v>
      </x:c>
      <x:c r="C93" s="9" t="str">
        <x:v>rosenbrock/4</x:v>
      </x:c>
      <x:c r="D93" s="11" t="n">
        <x:v>16204</x:v>
      </x:c>
      <x:c r="E93" s="9" t="n">
        <x:v>0.13094353327400696</x:v>
      </x:c>
      <x:c r="F93" s="9" t="n">
        <x:v>0.04683459144728165</x:v>
      </x:c>
      <x:c r="G93" s="9" t="n">
        <x:f>F93-E93</x:f>
        <x:v>-0.0841089418267253</x:v>
      </x:c>
      <x:c r="H93" s="9" t="n">
        <x:v>0.0040943416184009585</x:v>
      </x:c>
      <x:c r="I93" s="9" t="n">
        <x:v>0.005420536001500521</x:v>
      </x:c>
      <x:c r="J93" s="9" t="n">
        <x:f>I93-H93</x:f>
        <x:v>0.0013261943830995626</x:v>
      </x:c>
      <x:c r="K93" s="9" t="str">
        <x:f>IF(G93&lt;0,"gain",IF(G93&gt;0,"perte","égalité"))</x:f>
        <x:v>gain</x:v>
      </x:c>
      <x:c r="L93" s="9" t="str">
        <x:f>IF(J93&lt;0,"gain",IF(J93&gt;0,"perte","égalité"))</x:f>
        <x:v>perte</x:v>
      </x:c>
      <x:c r="M93" s="11" t="n">
        <x:v>1</x:v>
      </x:c>
      <x:c r="N93" s="11" t="n">
        <x:v>1</x:v>
      </x:c>
      <x:c r="O93" s="9" t="str">
        <x:v>S187</x:v>
      </x:c>
      <x:c r="P93" s="9" t="str">
        <x:v>S188</x:v>
      </x:c>
      <x:c r="Q93" s="9" t="str">
        <x:v>41f774152710162ecc83226a9986a78a6be7bf93b3bf17e266da91c79d1b4032</x:v>
      </x:c>
      <x:c r="R93" s="9" t="str">
        <x:v>32d7cd80890d50ab72adc819ecdba55790508c7da62277d206fdc459a1d957f1</x:v>
      </x:c>
    </x:row>
    <x:row r="94" ht="22" customHeight="1">
      <x:c r="A94" s="5" t="str">
        <x:v>central/16201_11</x:v>
      </x:c>
      <x:c r="B94" s="5" t="str">
        <x:v>central</x:v>
      </x:c>
      <x:c r="C94" s="5" t="str">
        <x:v>rosenbrock/4</x:v>
      </x:c>
      <x:c r="D94" s="10" t="n">
        <x:v>16201</x:v>
      </x:c>
      <x:c r="E94" s="5" t="n">
        <x:v>0.06773782286802221</x:v>
      </x:c>
      <x:c r="F94" s="5" t="n">
        <x:v>0.010533012152346664</x:v>
      </x:c>
      <x:c r="G94" s="5" t="n">
        <x:f>F94-E94</x:f>
        <x:v>-0.05720481071567555</x:v>
      </x:c>
      <x:c r="H94" s="5" t="n">
        <x:v>0.0006295483048512918</x:v>
      </x:c>
      <x:c r="I94" s="5" t="n">
        <x:v>0.0007168892992787703</x:v>
      </x:c>
      <x:c r="J94" s="5" t="n">
        <x:f>I94-H94</x:f>
        <x:v>0.0000873409944274785</x:v>
      </x:c>
      <x:c r="K94" s="5" t="str">
        <x:f>IF(G94&lt;0,"gain",IF(G94&gt;0,"perte","égalité"))</x:f>
        <x:v>gain</x:v>
      </x:c>
      <x:c r="L94" s="5" t="str">
        <x:f>IF(J94&lt;0,"gain",IF(J94&gt;0,"perte","égalité"))</x:f>
        <x:v>perte</x:v>
      </x:c>
      <x:c r="M94" s="10" t="n">
        <x:v>1</x:v>
      </x:c>
      <x:c r="N94" s="10" t="n">
        <x:v>1</x:v>
      </x:c>
      <x:c r="O94" s="5" t="str">
        <x:v>S189</x:v>
      </x:c>
      <x:c r="P94" s="5" t="str">
        <x:v>S190</x:v>
      </x:c>
      <x:c r="Q94" s="5" t="str">
        <x:v>3ba944f24b2eceb5f6bc1a98706a9026cb65c34d6b1a5175a5ea04170c476dcc</x:v>
      </x:c>
      <x:c r="R94" s="5" t="str">
        <x:v>afa937652bfa44322d412ccc781bbbe43e12560f59fa7c17e38006c313dc76cb</x:v>
      </x:c>
    </x:row>
    <x:row r="95" ht="22" customHeight="1">
      <x:c r="A95" s="9" t="str">
        <x:v>central/16202_11</x:v>
      </x:c>
      <x:c r="B95" s="9" t="str">
        <x:v>central</x:v>
      </x:c>
      <x:c r="C95" s="9" t="str">
        <x:v>rosenbrock/4</x:v>
      </x:c>
      <x:c r="D95" s="11" t="n">
        <x:v>16202</x:v>
      </x:c>
      <x:c r="E95" s="9" t="n">
        <x:v>0.4808376958863586</x:v>
      </x:c>
      <x:c r="F95" s="9" t="n">
        <x:v>0.03338339298396605</x:v>
      </x:c>
      <x:c r="G95" s="9" t="n">
        <x:f>F95-E95</x:f>
        <x:v>-0.4474543029023926</x:v>
      </x:c>
      <x:c r="H95" s="9" t="n">
        <x:v>0.011383017319734547</x:v>
      </x:c>
      <x:c r="I95" s="9" t="n">
        <x:v>0.0028052216639538785</x:v>
      </x:c>
      <x:c r="J95" s="9" t="n">
        <x:f>I95-H95</x:f>
        <x:v>-0.008577795655780669</x:v>
      </x:c>
      <x:c r="K95" s="9" t="str">
        <x:f>IF(G95&lt;0,"gain",IF(G95&gt;0,"perte","égalité"))</x:f>
        <x:v>gain</x:v>
      </x:c>
      <x:c r="L95" s="9" t="str">
        <x:f>IF(J95&lt;0,"gain",IF(J95&gt;0,"perte","égalité"))</x:f>
        <x:v>gain</x:v>
      </x:c>
      <x:c r="M95" s="11" t="n">
        <x:v>1</x:v>
      </x:c>
      <x:c r="N95" s="11" t="n">
        <x:v>1</x:v>
      </x:c>
      <x:c r="O95" s="9" t="str">
        <x:v>S191</x:v>
      </x:c>
      <x:c r="P95" s="9" t="str">
        <x:v>S192</x:v>
      </x:c>
      <x:c r="Q95" s="9" t="str">
        <x:v>77f30f235ae24b7851fdc4533e22f7979f4e807d06306c90be4e57e17f3ff885</x:v>
      </x:c>
      <x:c r="R95" s="9" t="str">
        <x:v>8ecc3e421004e44718ff75fc40bc739494a427e176724fdb72d55a3521f67eaa</x:v>
      </x:c>
    </x:row>
    <x:row r="96" ht="22" customHeight="1">
      <x:c r="A96" s="5" t="str">
        <x:v>central/16203_11</x:v>
      </x:c>
      <x:c r="B96" s="5" t="str">
        <x:v>central</x:v>
      </x:c>
      <x:c r="C96" s="5" t="str">
        <x:v>rosenbrock/4</x:v>
      </x:c>
      <x:c r="D96" s="10" t="n">
        <x:v>16203</x:v>
      </x:c>
      <x:c r="E96" s="5" t="n">
        <x:v>0.8931174767699832</x:v>
      </x:c>
      <x:c r="F96" s="5" t="n">
        <x:v>0.03225330765853159</x:v>
      </x:c>
      <x:c r="G96" s="5" t="n">
        <x:f>F96-E96</x:f>
        <x:v>-0.8608641691114516</x:v>
      </x:c>
      <x:c r="H96" s="5" t="n">
        <x:v>0.011383017319734547</x:v>
      </x:c>
      <x:c r="I96" s="5" t="n">
        <x:v>0.0026988509985294337</x:v>
      </x:c>
      <x:c r="J96" s="5" t="n">
        <x:f>I96-H96</x:f>
        <x:v>-0.008684166321205113</x:v>
      </x:c>
      <x:c r="K96" s="5" t="str">
        <x:f>IF(G96&lt;0,"gain",IF(G96&gt;0,"perte","égalité"))</x:f>
        <x:v>gain</x:v>
      </x:c>
      <x:c r="L96" s="5" t="str">
        <x:f>IF(J96&lt;0,"gain",IF(J96&gt;0,"perte","égalité"))</x:f>
        <x:v>gain</x:v>
      </x:c>
      <x:c r="M96" s="10" t="n">
        <x:v>1</x:v>
      </x:c>
      <x:c r="N96" s="10" t="n">
        <x:v>1</x:v>
      </x:c>
      <x:c r="O96" s="5" t="str">
        <x:v>S193</x:v>
      </x:c>
      <x:c r="P96" s="5" t="str">
        <x:v>S194</x:v>
      </x:c>
      <x:c r="Q96" s="5" t="str">
        <x:v>77739a09f5bc8157a7d96bf2054abebd5a8a71527e0b30918412aa96c066f9e4</x:v>
      </x:c>
      <x:c r="R96" s="5" t="str">
        <x:v>eb9e4067e7032d9cee0d29cc56d7fe3bb79135ac643a98935748cec7859cd0ee</x:v>
      </x:c>
    </x:row>
    <x:row r="97" ht="22" customHeight="1">
      <x:c r="A97" s="9" t="str">
        <x:v>central/16204_11</x:v>
      </x:c>
      <x:c r="B97" s="9" t="str">
        <x:v>central</x:v>
      </x:c>
      <x:c r="C97" s="9" t="str">
        <x:v>rosenbrock/4</x:v>
      </x:c>
      <x:c r="D97" s="11" t="n">
        <x:v>16204</x:v>
      </x:c>
      <x:c r="E97" s="9" t="n">
        <x:v>0.006465799740661148</x:v>
      </x:c>
      <x:c r="F97" s="9" t="n">
        <x:v>0.012278375970670972</x:v>
      </x:c>
      <x:c r="G97" s="9" t="n">
        <x:f>F97-E97</x:f>
        <x:v>0.0058125762300098235</x:v>
      </x:c>
      <x:c r="H97" s="9" t="n">
        <x:v>0.0017621361687800605</x:v>
      </x:c>
      <x:c r="I97" s="9" t="n">
        <x:v>0.001985178401378466</x:v>
      </x:c>
      <x:c r="J97" s="9" t="n">
        <x:f>I97-H97</x:f>
        <x:v>0.00022304223259840528</x:v>
      </x:c>
      <x:c r="K97" s="9" t="str">
        <x:f>IF(G97&lt;0,"gain",IF(G97&gt;0,"perte","égalité"))</x:f>
        <x:v>perte</x:v>
      </x:c>
      <x:c r="L97" s="9" t="str">
        <x:f>IF(J97&lt;0,"gain",IF(J97&gt;0,"perte","égalité"))</x:f>
        <x:v>perte</x:v>
      </x:c>
      <x:c r="M97" s="11" t="n">
        <x:v>1</x:v>
      </x:c>
      <x:c r="N97" s="11" t="n">
        <x:v>1</x:v>
      </x:c>
      <x:c r="O97" s="9" t="str">
        <x:v>S195</x:v>
      </x:c>
      <x:c r="P97" s="9" t="str">
        <x:v>S196</x:v>
      </x:c>
      <x:c r="Q97" s="9" t="str">
        <x:v>e94b192021860b2c15bfa49f691dbcc361036314a7b6047790abc5864fe64bb1</x:v>
      </x:c>
      <x:c r="R97" s="9" t="str">
        <x:v>669db4eb465e21bf346b01c9e0950f887dbe022807489b4fb3d495d8c918bdef</x:v>
      </x:c>
    </x:row>
    <x:row r="98" ht="22" customHeight="1">
      <x:c r="A98" s="5" t="str">
        <x:v>broad/16201_11</x:v>
      </x:c>
      <x:c r="B98" s="5" t="str">
        <x:v>broad</x:v>
      </x:c>
      <x:c r="C98" s="5" t="str">
        <x:v>rosenbrock/4</x:v>
      </x:c>
      <x:c r="D98" s="10" t="n">
        <x:v>16201</x:v>
      </x:c>
      <x:c r="E98" s="5" t="n">
        <x:v>0.031771578857499844</x:v>
      </x:c>
      <x:c r="F98" s="5" t="n">
        <x:v>0.011499478403298229</x:v>
      </x:c>
      <x:c r="G98" s="5" t="n">
        <x:f>F98-E98</x:f>
        <x:v>-0.020272100454201615</x:v>
      </x:c>
      <x:c r="H98" s="5" t="n">
        <x:v>0.001104057552715414</x:v>
      </x:c>
      <x:c r="I98" s="5" t="n">
        <x:v>0.00009041252317498185</x:v>
      </x:c>
      <x:c r="J98" s="5" t="n">
        <x:f>I98-H98</x:f>
        <x:v>-0.0010136450295404323</x:v>
      </x:c>
      <x:c r="K98" s="5" t="str">
        <x:f>IF(G98&lt;0,"gain",IF(G98&gt;0,"perte","égalité"))</x:f>
        <x:v>gain</x:v>
      </x:c>
      <x:c r="L98" s="5" t="str">
        <x:f>IF(J98&lt;0,"gain",IF(J98&gt;0,"perte","égalité"))</x:f>
        <x:v>gain</x:v>
      </x:c>
      <x:c r="M98" s="10" t="n">
        <x:v>1</x:v>
      </x:c>
      <x:c r="N98" s="10" t="n">
        <x:v>1</x:v>
      </x:c>
      <x:c r="O98" s="5" t="str">
        <x:v>S197</x:v>
      </x:c>
      <x:c r="P98" s="5" t="str">
        <x:v>S198</x:v>
      </x:c>
      <x:c r="Q98" s="5" t="str">
        <x:v>92b9d6cddd1bea43f53a48bb4d34c14ded8c5316217ebb913cfbcb03e674921c</x:v>
      </x:c>
      <x:c r="R98" s="5" t="str">
        <x:v>82e55b812ebec609788ba90532b37f3040f09b00a933b0ef909a2cd426d0ee48</x:v>
      </x:c>
    </x:row>
    <x:row r="99" ht="22" customHeight="1">
      <x:c r="A99" s="9" t="str">
        <x:v>broad/16202_11</x:v>
      </x:c>
      <x:c r="B99" s="9" t="str">
        <x:v>broad</x:v>
      </x:c>
      <x:c r="C99" s="9" t="str">
        <x:v>rosenbrock/4</x:v>
      </x:c>
      <x:c r="D99" s="11" t="n">
        <x:v>16202</x:v>
      </x:c>
      <x:c r="E99" s="9" t="n">
        <x:v>0.13043435470132814</x:v>
      </x:c>
      <x:c r="F99" s="9" t="n">
        <x:v>0.06778726687379268</x:v>
      </x:c>
      <x:c r="G99" s="9" t="n">
        <x:f>F99-E99</x:f>
        <x:v>-0.06264708782753546</x:v>
      </x:c>
      <x:c r="H99" s="9" t="n">
        <x:v>0.004540506223886669</x:v>
      </x:c>
      <x:c r="I99" s="9" t="n">
        <x:v>0.004540506223886669</x:v>
      </x:c>
      <x:c r="J99" s="9" t="n">
        <x:f>I99-H99</x:f>
        <x:v>0</x:v>
      </x:c>
      <x:c r="K99" s="9" t="str">
        <x:f>IF(G99&lt;0,"gain",IF(G99&gt;0,"perte","égalité"))</x:f>
        <x:v>gain</x:v>
      </x:c>
      <x:c r="L99" s="9" t="str">
        <x:f>IF(J99&lt;0,"gain",IF(J99&gt;0,"perte","égalité"))</x:f>
        <x:v>égalité</x:v>
      </x:c>
      <x:c r="M99" s="11" t="n">
        <x:v>1</x:v>
      </x:c>
      <x:c r="N99" s="11" t="n">
        <x:v>1</x:v>
      </x:c>
      <x:c r="O99" s="9" t="str">
        <x:v>S199</x:v>
      </x:c>
      <x:c r="P99" s="9" t="str">
        <x:v>S200</x:v>
      </x:c>
      <x:c r="Q99" s="9" t="str">
        <x:v>789239d9e45c704c63c8c346453f30f4a4c6921475527af1acbdf58914749815</x:v>
      </x:c>
      <x:c r="R99" s="9" t="str">
        <x:v>e3525840692f374dcc6c360fc51c0666f787dc470fc4bd7746689de36c48550d</x:v>
      </x:c>
    </x:row>
    <x:row r="100" ht="22" customHeight="1">
      <x:c r="A100" s="5" t="str">
        <x:v>broad/16203_11</x:v>
      </x:c>
      <x:c r="B100" s="5" t="str">
        <x:v>broad</x:v>
      </x:c>
      <x:c r="C100" s="5" t="str">
        <x:v>rosenbrock/4</x:v>
      </x:c>
      <x:c r="D100" s="10" t="n">
        <x:v>16203</x:v>
      </x:c>
      <x:c r="E100" s="5" t="n">
        <x:v>0.6815724595130299</x:v>
      </x:c>
      <x:c r="F100" s="5" t="n">
        <x:v>0.06154450691008761</x:v>
      </x:c>
      <x:c r="G100" s="5" t="n">
        <x:f>F100-E100</x:f>
        <x:v>-0.6200279526029423</x:v>
      </x:c>
      <x:c r="H100" s="5" t="n">
        <x:v>0.004540506223886669</x:v>
      </x:c>
      <x:c r="I100" s="5" t="n">
        <x:v>0.004540506223886669</x:v>
      </x:c>
      <x:c r="J100" s="5" t="n">
        <x:f>I100-H100</x:f>
        <x:v>0</x:v>
      </x:c>
      <x:c r="K100" s="5" t="str">
        <x:f>IF(G100&lt;0,"gain",IF(G100&gt;0,"perte","égalité"))</x:f>
        <x:v>gain</x:v>
      </x:c>
      <x:c r="L100" s="5" t="str">
        <x:f>IF(J100&lt;0,"gain",IF(J100&gt;0,"perte","égalité"))</x:f>
        <x:v>égalité</x:v>
      </x:c>
      <x:c r="M100" s="10" t="n">
        <x:v>1</x:v>
      </x:c>
      <x:c r="N100" s="10" t="n">
        <x:v>1</x:v>
      </x:c>
      <x:c r="O100" s="5" t="str">
        <x:v>S201</x:v>
      </x:c>
      <x:c r="P100" s="5" t="str">
        <x:v>S202</x:v>
      </x:c>
      <x:c r="Q100" s="5" t="str">
        <x:v>0816a1f2eb5371c15ae1625b0f3bd2d5a5aff1546bb21d1762dbf6e18c56d335</x:v>
      </x:c>
      <x:c r="R100" s="5" t="str">
        <x:v>b48b999f67bb40b26d54f7fda3c831792a81f715b201616e576c4e9df121029b</x:v>
      </x:c>
    </x:row>
    <x:row r="101" ht="22" customHeight="1">
      <x:c r="A101" s="9" t="str">
        <x:v>broad/16204_11</x:v>
      </x:c>
      <x:c r="B101" s="9" t="str">
        <x:v>broad</x:v>
      </x:c>
      <x:c r="C101" s="9" t="str">
        <x:v>rosenbrock/4</x:v>
      </x:c>
      <x:c r="D101" s="11" t="n">
        <x:v>16204</x:v>
      </x:c>
      <x:c r="E101" s="9" t="n">
        <x:v>0.01272100498359304</x:v>
      </x:c>
      <x:c r="F101" s="9" t="n">
        <x:v>0.06270904375583583</x:v>
      </x:c>
      <x:c r="G101" s="9" t="n">
        <x:f>F101-E101</x:f>
        <x:v>0.04998803877224279</x:v>
      </x:c>
      <x:c r="H101" s="9" t="n">
        <x:v>0.0021552949743646587</x:v>
      </x:c>
      <x:c r="I101" s="9" t="n">
        <x:v>0.004540506223886669</x:v>
      </x:c>
      <x:c r="J101" s="9" t="n">
        <x:f>I101-H101</x:f>
        <x:v>0.0023852112495220106</x:v>
      </x:c>
      <x:c r="K101" s="9" t="str">
        <x:f>IF(G101&lt;0,"gain",IF(G101&gt;0,"perte","égalité"))</x:f>
        <x:v>perte</x:v>
      </x:c>
      <x:c r="L101" s="9" t="str">
        <x:f>IF(J101&lt;0,"gain",IF(J101&gt;0,"perte","égalité"))</x:f>
        <x:v>perte</x:v>
      </x:c>
      <x:c r="M101" s="11" t="n">
        <x:v>1</x:v>
      </x:c>
      <x:c r="N101" s="11" t="n">
        <x:v>1</x:v>
      </x:c>
      <x:c r="O101" s="9" t="str">
        <x:v>S203</x:v>
      </x:c>
      <x:c r="P101" s="9" t="str">
        <x:v>S204</x:v>
      </x:c>
      <x:c r="Q101" s="9" t="str">
        <x:v>6a094d4e1921dd69423e81fba2a7b453dfa7fb5dab66eb173ed5dafc51c427c8</x:v>
      </x:c>
      <x:c r="R101" s="9" t="str">
        <x:v>a41f6a8908cf57867561c215a4d46fc56e119609f1aa4d176857c4c11723569b</x:v>
      </x:c>
    </x:row>
    <x:row r="106" ht="44" customHeight="1">
      <x:c r="A106" s="8" t="str">
        <x:v>Distribution</x:v>
      </x:c>
      <x:c r="B106" s="8" t="str">
        <x:v>AUC seed moyenne</x:v>
      </x:c>
      <x:c r="C106" s="8" t="str">
        <x:v>AUC B2 moyenne</x:v>
      </x:c>
      <x:c r="D106" s="8" t="str">
        <x:v>Réduction AUC moyenne</x:v>
      </x:c>
      <x:c r="E106" s="8" t="str">
        <x:v>Gains AUC</x:v>
      </x:c>
      <x:c r="F106" s="8" t="str">
        <x:v>Pertes AUC</x:v>
      </x:c>
      <x:c r="G106" s="8" t="str">
        <x:v>Gains finaux</x:v>
      </x:c>
      <x:c r="H106" s="8" t="str">
        <x:v>Pertes finales</x:v>
      </x:c>
      <x:c r="I106" s="8" t="str">
        <x:v>Égalités finales</x:v>
      </x:c>
      <x:c r="J106" s="8" t="str">
        <x:v>Source</x:v>
      </x:c>
    </x:row>
    <x:row r="107" ht="22" customHeight="1">
      <x:c r="A107" s="5" t="str">
        <x:v>central</x:v>
      </x:c>
      <x:c r="B107" s="5" t="n">
        <x:f>AVERAGEIF(B6:B101,A107,E6:E101)</x:f>
        <x:v>0.19229992774547877</x:v>
      </x:c>
      <x:c r="C107" s="5" t="n">
        <x:f>AVERAGEIF(B6:B101,A107,F6:F101)</x:f>
        <x:v>0.027569468403529303</x:v>
      </x:c>
      <x:c r="D107" s="12" t="n">
        <x:f>1-C107/B107</x:f>
        <x:v>0.8566329757543162</x:v>
      </x:c>
      <x:c r="E107" s="10" t="n">
        <x:f>COUNTIFS(B6:B101,A107,K6:K101,"gain")</x:f>
        <x:v>37</x:v>
      </x:c>
      <x:c r="F107" s="10" t="n">
        <x:f>COUNTIFS(B6:B101,A107,K6:K101,"perte")</x:f>
        <x:v>11</x:v>
      </x:c>
      <x:c r="G107" s="10" t="n">
        <x:f>COUNTIFS(B6:B101,A107,L6:L101,"gain")</x:f>
        <x:v>29</x:v>
      </x:c>
      <x:c r="H107" s="10" t="n">
        <x:f>COUNTIFS(B6:B101,A107,L6:L101,"perte")</x:f>
        <x:v>15</x:v>
      </x:c>
      <x:c r="I107" s="10" t="n">
        <x:f>COUNTIFS(B6:B101,A107,L6:L101,"égalité")</x:f>
        <x:v>4</x:v>
      </x:c>
      <x:c r="J107" s="5" t="str">
        <x:v>S005</x:v>
      </x:c>
    </x:row>
    <x:row r="108" ht="22" customHeight="1">
      <x:c r="A108" s="9" t="str">
        <x:v>broad</x:v>
      </x:c>
      <x:c r="B108" s="9" t="n">
        <x:f>AVERAGEIF(B6:B101,A108,E6:E101)</x:f>
        <x:v>0.16790551798527645</x:v>
      </x:c>
      <x:c r="C108" s="9" t="n">
        <x:f>AVERAGEIF(B6:B101,A108,F6:F101)</x:f>
        <x:v>0.055168849914390285</x:v>
      </x:c>
      <x:c r="D108" s="13" t="n">
        <x:f>1-C108/B108</x:f>
        <x:v>0.6714292027065601</x:v>
      </x:c>
      <x:c r="E108" s="11" t="n">
        <x:f>COUNTIFS(B6:B101,A108,K6:K101,"gain")</x:f>
        <x:v>33</x:v>
      </x:c>
      <x:c r="F108" s="11" t="n">
        <x:f>COUNTIFS(B6:B101,A108,K6:K101,"perte")</x:f>
        <x:v>15</x:v>
      </x:c>
      <x:c r="G108" s="11" t="n">
        <x:f>COUNTIFS(B6:B101,A108,L6:L101,"gain")</x:f>
        <x:v>17</x:v>
      </x:c>
      <x:c r="H108" s="11" t="n">
        <x:f>COUNTIFS(B6:B101,A108,L6:L101,"perte")</x:f>
        <x:v>22</x:v>
      </x:c>
      <x:c r="I108" s="11" t="n">
        <x:f>COUNTIFS(B6:B101,A108,L6:L101,"égalité")</x:f>
        <x:v>9</x:v>
      </x:c>
      <x:c r="J108" s="9" t="str">
        <x:v>S005</x:v>
      </x:c>
    </x:row>
  </x:sheetData>
  <x:pageMargins left="0.7" right="0.7" top="0.75" bottom="0.75" header="0.3" footer="0.3"/>
  <x:tableParts count="2">
    <x:tablePart xmlns:r="http://schemas.openxmlformats.org/officeDocument/2006/relationships" r:id="R4cbeab81aed54aa8"/>
    <x:tablePart xmlns:r="http://schemas.openxmlformats.org/officeDocument/2006/relationships" r:id="Rb4d92528d9414d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30" hidden="0" customWidth="1"/>
    <x:col min="5" max="5" width="15" hidden="0" customWidth="1"/>
    <x:col min="6" max="6" width="25" hidden="0" customWidth="1"/>
    <x:col min="7" max="7" width="25" hidden="0" customWidth="1"/>
    <x:col min="8" max="8" width="30" hidden="0" customWidth="1"/>
    <x:col min="9" max="9" width="30" hidden="0" customWidth="1"/>
    <x:col min="10" max="10" width="15" hidden="0" customWidth="1"/>
    <x:col min="11" max="11" width="15" hidden="0" customWidth="1"/>
  </x:cols>
  <x:sheetData>
    <x:row r="1" ht="29" customHeight="1">
      <x:c r="A1" s="1" t="str">
        <x:v>S1 : précision de sélection dans la banque fixe</x:v>
      </x:c>
    </x:row>
    <x:row r="2" ht="21" customHeight="1">
      <x:c r="A2" s="2" t="str">
        <x:v>200 sous-panels chevauchants par configuration. Ce ne sont pas 200 réplications indépendantes.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Instances par strate</x:v>
      </x:c>
      <x:c r="B5" s="8" t="str">
        <x:v>Seeds locaux</x:v>
      </x:c>
      <x:c r="C5" s="8" t="str">
        <x:v>Instances totales</x:v>
      </x:c>
      <x:c r="D5" s="8" t="str">
        <x:v>Trajectoires par candidat</x:v>
      </x:c>
      <x:c r="E5" s="8" t="str">
        <x:v>Sous-panels</x:v>
      </x:c>
      <x:c r="F5" s="8" t="str">
        <x:v>AUC audit moyenne</x:v>
      </x:c>
      <x:c r="G5" s="8" t="str">
        <x:v>AUC audit médiane</x:v>
      </x:c>
      <x:c r="H5" s="8" t="str">
        <x:v>Excès vs meilleur banque</x:v>
      </x:c>
      <x:c r="I5" s="8" t="str">
        <x:v>Corrélation rang moyenne</x:v>
      </x:c>
      <x:c r="J5" s="8" t="str">
        <x:v>Réduction vs 6×1</x:v>
      </x:c>
      <x:c r="K5" s="8" t="str">
        <x:v>Source</x:v>
      </x:c>
    </x:row>
    <x:row r="6" ht="22" customHeight="1">
      <x:c r="A6" s="10" t="n">
        <x:v>1</x:v>
      </x:c>
      <x:c r="B6" s="10" t="n">
        <x:v>1</x:v>
      </x:c>
      <x:c r="C6" s="10" t="n">
        <x:f>A6*6</x:f>
        <x:v>6</x:v>
      </x:c>
      <x:c r="D6" s="10" t="n">
        <x:f>C6*B6</x:f>
        <x:v>6</x:v>
      </x:c>
      <x:c r="E6" s="10" t="n">
        <x:v>200</x:v>
      </x:c>
      <x:c r="F6" s="5" t="n">
        <x:v>0.09141179461761381</x:v>
      </x:c>
      <x:c r="G6" s="5" t="n">
        <x:v>0.08068934980434257</x:v>
      </x:c>
      <x:c r="H6" s="5" t="n">
        <x:v>0.015846235712608542</x:v>
      </x:c>
      <x:c r="I6" s="5" t="n">
        <x:v>0.6825454545454546</x:v>
      </x:c>
      <x:c r="J6" s="12" t="n">
        <x:f>1-F6/$F$6</x:f>
        <x:v>0</x:v>
      </x:c>
      <x:c r="K6" s="5" t="str">
        <x:v>S008</x:v>
      </x:c>
    </x:row>
    <x:row r="7" ht="22" customHeight="1">
      <x:c r="A7" s="11" t="n">
        <x:v>1</x:v>
      </x:c>
      <x:c r="B7" s="11" t="n">
        <x:v>2</x:v>
      </x:c>
      <x:c r="C7" s="11" t="n">
        <x:f>A7*6</x:f>
        <x:v>6</x:v>
      </x:c>
      <x:c r="D7" s="11" t="n">
        <x:f>C7*B7</x:f>
        <x:v>12</x:v>
      </x:c>
      <x:c r="E7" s="11" t="n">
        <x:v>200</x:v>
      </x:c>
      <x:c r="F7" s="9" t="n">
        <x:v>0.08662461818715347</x:v>
      </x:c>
      <x:c r="G7" s="9" t="n">
        <x:v>0.07990090451264008</x:v>
      </x:c>
      <x:c r="H7" s="9" t="n">
        <x:v>0.011059059282148204</x:v>
      </x:c>
      <x:c r="I7" s="9" t="n">
        <x:v>0.7730454545454546</x:v>
      </x:c>
      <x:c r="J7" s="13" t="n">
        <x:f>1-F7/$F$6</x:f>
        <x:v>0.05236935179410551</x:v>
      </x:c>
      <x:c r="K7" s="9" t="str">
        <x:v>S008</x:v>
      </x:c>
    </x:row>
    <x:row r="8" ht="22" customHeight="1">
      <x:c r="A8" s="10" t="n">
        <x:v>1</x:v>
      </x:c>
      <x:c r="B8" s="10" t="n">
        <x:v>4</x:v>
      </x:c>
      <x:c r="C8" s="10" t="n">
        <x:f>A8*6</x:f>
        <x:v>6</x:v>
      </x:c>
      <x:c r="D8" s="10" t="n">
        <x:f>C8*B8</x:f>
        <x:v>24</x:v>
      </x:c>
      <x:c r="E8" s="10" t="n">
        <x:v>200</x:v>
      </x:c>
      <x:c r="F8" s="5" t="n">
        <x:v>0.08592082502485403</x:v>
      </x:c>
      <x:c r="G8" s="5" t="n">
        <x:v>0.07990090451264008</x:v>
      </x:c>
      <x:c r="H8" s="5" t="n">
        <x:v>0.010355266119848758</x:v>
      </x:c>
      <x:c r="I8" s="5" t="n">
        <x:v>0.8203181818181818</x:v>
      </x:c>
      <x:c r="J8" s="12" t="n">
        <x:f>1-F8/$F$6</x:f>
        <x:v>0.06006850227291949</x:v>
      </x:c>
      <x:c r="K8" s="5" t="str">
        <x:v>S008</x:v>
      </x:c>
    </x:row>
    <x:row r="9" ht="22" customHeight="1">
      <x:c r="A9" s="11" t="n">
        <x:v>2</x:v>
      </x:c>
      <x:c r="B9" s="11" t="n">
        <x:v>1</x:v>
      </x:c>
      <x:c r="C9" s="11" t="n">
        <x:f>A9*6</x:f>
        <x:v>12</x:v>
      </x:c>
      <x:c r="D9" s="11" t="n">
        <x:f>C9*B9</x:f>
        <x:v>12</x:v>
      </x:c>
      <x:c r="E9" s="11" t="n">
        <x:v>200</x:v>
      </x:c>
      <x:c r="F9" s="9" t="n">
        <x:v>0.08356491577607314</x:v>
      </x:c>
      <x:c r="G9" s="9" t="n">
        <x:v>0.07556555890500527</x:v>
      </x:c>
      <x:c r="H9" s="9" t="n">
        <x:v>0.00799935687106787</x:v>
      </x:c>
      <x:c r="I9" s="9" t="n">
        <x:v>0.825</x:v>
      </x:c>
      <x:c r="J9" s="13" t="n">
        <x:f>1-F9/$F$6</x:f>
        <x:v>0.08584098883918734</x:v>
      </x:c>
      <x:c r="K9" s="9" t="str">
        <x:v>S008</x:v>
      </x:c>
    </x:row>
    <x:row r="10" ht="22" customHeight="1">
      <x:c r="A10" s="10" t="n">
        <x:v>2</x:v>
      </x:c>
      <x:c r="B10" s="10" t="n">
        <x:v>2</x:v>
      </x:c>
      <x:c r="C10" s="10" t="n">
        <x:f>A10*6</x:f>
        <x:v>12</x:v>
      </x:c>
      <x:c r="D10" s="10" t="n">
        <x:f>C10*B10</x:f>
        <x:v>24</x:v>
      </x:c>
      <x:c r="E10" s="10" t="n">
        <x:v>200</x:v>
      </x:c>
      <x:c r="F10" s="5" t="n">
        <x:v>0.08115087280592607</x:v>
      </x:c>
      <x:c r="G10" s="5" t="n">
        <x:v>0.07556555890500527</x:v>
      </x:c>
      <x:c r="H10" s="5" t="n">
        <x:v>0.005585313900920805</x:v>
      </x:c>
      <x:c r="I10" s="5" t="n">
        <x:v>0.8893636363636364</x:v>
      </x:c>
      <x:c r="J10" s="12" t="n">
        <x:f>1-F10/$F$6</x:f>
        <x:v>0.11224942967819818</x:v>
      </x:c>
      <x:c r="K10" s="5" t="str">
        <x:v>S008</x:v>
      </x:c>
    </x:row>
    <x:row r="11" ht="22" customHeight="1">
      <x:c r="A11" s="11" t="n">
        <x:v>2</x:v>
      </x:c>
      <x:c r="B11" s="11" t="n">
        <x:v>4</x:v>
      </x:c>
      <x:c r="C11" s="11" t="n">
        <x:f>A11*6</x:f>
        <x:v>12</x:v>
      </x:c>
      <x:c r="D11" s="11" t="n">
        <x:f>C11*B11</x:f>
        <x:v>48</x:v>
      </x:c>
      <x:c r="E11" s="11" t="n">
        <x:v>200</x:v>
      </x:c>
      <x:c r="F11" s="9" t="n">
        <x:v>0.07965236755518201</x:v>
      </x:c>
      <x:c r="G11" s="9" t="n">
        <x:v>0.07556555890500527</x:v>
      </x:c>
      <x:c r="H11" s="9" t="n">
        <x:v>0.004086808650176743</x:v>
      </x:c>
      <x:c r="I11" s="9" t="n">
        <x:v>0.921409090909091</x:v>
      </x:c>
      <x:c r="J11" s="13" t="n">
        <x:f>1-F11/$F$6</x:f>
        <x:v>0.1286423388975444</x:v>
      </x:c>
      <x:c r="K11" s="9" t="str">
        <x:v>S008</x:v>
      </x:c>
    </x:row>
    <x:row r="12" ht="22" customHeight="1">
      <x:c r="A12" s="10" t="n">
        <x:v>4</x:v>
      </x:c>
      <x:c r="B12" s="10" t="n">
        <x:v>1</x:v>
      </x:c>
      <x:c r="C12" s="10" t="n">
        <x:f>A12*6</x:f>
        <x:v>24</x:v>
      </x:c>
      <x:c r="D12" s="10" t="n">
        <x:f>C12*B12</x:f>
        <x:v>24</x:v>
      </x:c>
      <x:c r="E12" s="10" t="n">
        <x:v>200</x:v>
      </x:c>
      <x:c r="F12" s="5" t="n">
        <x:v>0.07790670070796452</x:v>
      </x:c>
      <x:c r="G12" s="5" t="n">
        <x:v>0.07556555890500527</x:v>
      </x:c>
      <x:c r="H12" s="5" t="n">
        <x:v>0.0023411418029592457</x:v>
      </x:c>
      <x:c r="I12" s="5" t="n">
        <x:v>0.9324090909090909</x:v>
      </x:c>
      <x:c r="J12" s="12" t="n">
        <x:f>1-F12/$F$6</x:f>
        <x:v>0.1477390742205935</x:v>
      </x:c>
      <x:c r="K12" s="5" t="str">
        <x:v>S008</x:v>
      </x:c>
    </x:row>
    <x:row r="13" ht="22" customHeight="1">
      <x:c r="A13" s="11" t="n">
        <x:v>4</x:v>
      </x:c>
      <x:c r="B13" s="11" t="n">
        <x:v>2</x:v>
      </x:c>
      <x:c r="C13" s="11" t="n">
        <x:f>A13*6</x:f>
        <x:v>24</x:v>
      </x:c>
      <x:c r="D13" s="11" t="n">
        <x:f>C13*B13</x:f>
        <x:v>48</x:v>
      </x:c>
      <x:c r="E13" s="11" t="n">
        <x:v>200</x:v>
      </x:c>
      <x:c r="F13" s="9" t="n">
        <x:v>0.07556555890500527</x:v>
      </x:c>
      <x:c r="G13" s="9" t="n">
        <x:v>0.07556555890500527</x:v>
      </x:c>
      <x:c r="H13" s="9" t="n">
        <x:v>0</x:v>
      </x:c>
      <x:c r="I13" s="9" t="n">
        <x:v>0.9613636363636364</x:v>
      </x:c>
      <x:c r="J13" s="13" t="n">
        <x:f>1-F13/$F$6</x:f>
        <x:v>0.17335001220460877</x:v>
      </x:c>
      <x:c r="K13" s="9" t="str">
        <x:v>S008</x:v>
      </x:c>
    </x:row>
    <x:row r="14" ht="22" customHeight="1">
      <x:c r="A14" s="10" t="n">
        <x:v>4</x:v>
      </x:c>
      <x:c r="B14" s="10" t="n">
        <x:v>4</x:v>
      </x:c>
      <x:c r="C14" s="10" t="n">
        <x:f>A14*6</x:f>
        <x:v>24</x:v>
      </x:c>
      <x:c r="D14" s="10" t="n">
        <x:f>C14*B14</x:f>
        <x:v>96</x:v>
      </x:c>
      <x:c r="E14" s="10" t="n">
        <x:v>200</x:v>
      </x:c>
      <x:c r="F14" s="5" t="n">
        <x:v>0.07556555890500527</x:v>
      </x:c>
      <x:c r="G14" s="5" t="n">
        <x:v>0.07556555890500527</x:v>
      </x:c>
      <x:c r="H14" s="5" t="n">
        <x:v>0</x:v>
      </x:c>
      <x:c r="I14" s="5" t="n">
        <x:v>0.9727272727272728</x:v>
      </x:c>
      <x:c r="J14" s="12" t="n">
        <x:f>1-F14/$F$6</x:f>
        <x:v>0.17335001220460877</x:v>
      </x:c>
      <x:c r="K14" s="5" t="str">
        <x:v>S008</x:v>
      </x:c>
    </x:row>
  </x:sheetData>
  <x:pageMargins left="0.7" right="0.7" top="0.75" bottom="0.75" header="0.3" footer="0.3"/>
  <x:tableParts count="1">
    <x:tablePart xmlns:r="http://schemas.openxmlformats.org/officeDocument/2006/relationships" r:id="Rfb8ef5ca6d5944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7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72" hidden="0" customWidth="1"/>
    <x:col min="14" max="14" width="15" hidden="0" customWidth="1"/>
    <x:col min="15" max="15" width="15" hidden="0" customWidth="1"/>
  </x:cols>
  <x:sheetData>
    <x:row r="1" ht="29" customHeight="1">
      <x:c r="A1" s="1" t="str">
        <x:v>S1 : banque et fréquences de sélection</x:v>
      </x:c>
    </x:row>
    <x:row r="2" ht="21" customHeight="1">
      <x:c r="A2" s="2" t="str">
        <x:v>11 sources fixées avant mesure. Fréquences sur 200 sous-panels par configuration.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Index banque</x:v>
      </x:c>
      <x:c r="B5" s="8" t="str">
        <x:v>Provenance</x:v>
      </x:c>
      <x:c r="C5" s="8" t="str">
        <x:v>AUC audit</x:v>
      </x:c>
      <x:c r="D5" s="8" t="str">
        <x:v>6×1</x:v>
      </x:c>
      <x:c r="E5" s="8" t="str">
        <x:v>6×2</x:v>
      </x:c>
      <x:c r="F5" s="8" t="str">
        <x:v>6×4</x:v>
      </x:c>
      <x:c r="G5" s="8" t="str">
        <x:v>12×1</x:v>
      </x:c>
      <x:c r="H5" s="8" t="str">
        <x:v>12×2</x:v>
      </x:c>
      <x:c r="I5" s="8" t="str">
        <x:v>12×4</x:v>
      </x:c>
      <x:c r="J5" s="8" t="str">
        <x:v>24×1</x:v>
      </x:c>
      <x:c r="K5" s="8" t="str">
        <x:v>24×2</x:v>
      </x:c>
      <x:c r="L5" s="8" t="str">
        <x:v>24×4</x:v>
      </x:c>
      <x:c r="M5" s="8" t="str">
        <x:v>SHA-256 source</x:v>
      </x:c>
      <x:c r="N5" s="8" t="str">
        <x:v>Source banque</x:v>
      </x:c>
      <x:c r="O5" s="8" t="str">
        <x:v>Source résultat</x:v>
      </x:c>
    </x:row>
    <x:row r="6" ht="43" customHeight="1">
      <x:c r="A6" s="10" t="n">
        <x:v>0</x:v>
      </x:c>
      <x:c r="B6" s="23" t="str">
        <x:v>unchanged EXP-15 seed ; EXP-15 11/A2 validation-selected ; EXP-15 37/A2 validation-selected</x:v>
      </x:c>
      <x:c r="C6" s="5" t="n">
        <x:v>0.16268511831389648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  <x:c r="H6" s="10" t="n">
        <x:v>0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5" t="str">
        <x:v>5b74e5a3fe2fc90fcb42a603b058fa7befbf65f38775caa77acd30cdf619b640</x:v>
      </x:c>
      <x:c r="N6" s="5" t="str">
        <x:v>S009</x:v>
      </x:c>
      <x:c r="O6" s="5" t="str">
        <x:v>S008</x:v>
      </x:c>
    </x:row>
    <x:row r="7" ht="43" customHeight="1">
      <x:c r="A7" s="11" t="n">
        <x:v>1</x:v>
      </x:c>
      <x:c r="B7" s="24" t="str">
        <x:v>EXP-15 11/A1 validation-selected</x:v>
      </x:c>
      <x:c r="C7" s="9" t="n">
        <x:v>0.10987579209837317</x:v>
      </x:c>
      <x:c r="D7" s="11" t="n">
        <x:v>15</x:v>
      </x:c>
      <x:c r="E7" s="11" t="n">
        <x:v>9</x:v>
      </x:c>
      <x:c r="F7" s="11" t="n">
        <x:v>6</x:v>
      </x:c>
      <x:c r="G7" s="11" t="n">
        <x:v>10</x:v>
      </x:c>
      <x:c r="H7" s="11" t="n">
        <x:v>1</x:v>
      </x:c>
      <x:c r="I7" s="11" t="n">
        <x:v>0</x:v>
      </x:c>
      <x:c r="J7" s="11" t="n">
        <x:v>0</x:v>
      </x:c>
      <x:c r="K7" s="11" t="n">
        <x:v>0</x:v>
      </x:c>
      <x:c r="L7" s="11" t="n">
        <x:v>0</x:v>
      </x:c>
      <x:c r="M7" s="9" t="str">
        <x:v>f01e1ada131fc2361d2b65543173dd0d26f4f7ad8999daa2b90db678872a5125</x:v>
      </x:c>
      <x:c r="N7" s="9" t="str">
        <x:v>S009</x:v>
      </x:c>
      <x:c r="O7" s="9" t="str">
        <x:v>S008</x:v>
      </x:c>
    </x:row>
    <x:row r="8" ht="43" customHeight="1">
      <x:c r="A8" s="10" t="n">
        <x:v>2</x:v>
      </x:c>
      <x:c r="B8" s="23" t="str">
        <x:v>EXP-15 23/A1 validation-selected</x:v>
      </x:c>
      <x:c r="C8" s="5" t="n">
        <x:v>0.12600971841243508</x:v>
      </x:c>
      <x:c r="D8" s="10" t="n">
        <x:v>10</x:v>
      </x:c>
      <x:c r="E8" s="10" t="n">
        <x:v>2</x:v>
      </x:c>
      <x:c r="F8" s="10" t="n">
        <x:v>0</x:v>
      </x:c>
      <x:c r="G8" s="10" t="n">
        <x:v>2</x:v>
      </x:c>
      <x:c r="H8" s="10" t="n">
        <x:v>0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5" t="str">
        <x:v>bcdfadcbb14363b9def118dee3cd3d2445a5efbd52d72e914e998882d239bd56</x:v>
      </x:c>
      <x:c r="N8" s="5" t="str">
        <x:v>S009</x:v>
      </x:c>
      <x:c r="O8" s="5" t="str">
        <x:v>S008</x:v>
      </x:c>
    </x:row>
    <x:row r="9" ht="43" customHeight="1">
      <x:c r="A9" s="11" t="n">
        <x:v>3</x:v>
      </x:c>
      <x:c r="B9" s="24" t="str">
        <x:v>EXP-15 23/A2 validation-selected</x:v>
      </x:c>
      <x:c r="C9" s="9" t="n">
        <x:v>0.12955038224926033</x:v>
      </x:c>
      <x:c r="D9" s="11" t="n">
        <x:v>0</x:v>
      </x:c>
      <x:c r="E9" s="11" t="n">
        <x:v>0</x:v>
      </x:c>
      <x:c r="F9" s="11" t="n">
        <x:v>0</x:v>
      </x:c>
      <x:c r="G9" s="11" t="n">
        <x:v>1</x:v>
      </x:c>
      <x:c r="H9" s="11" t="n">
        <x:v>0</x:v>
      </x:c>
      <x:c r="I9" s="11" t="n">
        <x:v>0</x:v>
      </x:c>
      <x:c r="J9" s="11" t="n">
        <x:v>0</x:v>
      </x:c>
      <x:c r="K9" s="11" t="n">
        <x:v>0</x:v>
      </x:c>
      <x:c r="L9" s="11" t="n">
        <x:v>0</x:v>
      </x:c>
      <x:c r="M9" s="9" t="str">
        <x:v>8c1079d841f13ddc1a6c739447b3bfd94477fbee5daf147f41c30611edae8ded</x:v>
      </x:c>
      <x:c r="N9" s="9" t="str">
        <x:v>S009</x:v>
      </x:c>
      <x:c r="O9" s="9" t="str">
        <x:v>S008</x:v>
      </x:c>
    </x:row>
    <x:row r="10" ht="43" customHeight="1">
      <x:c r="A10" s="10" t="n">
        <x:v>4</x:v>
      </x:c>
      <x:c r="B10" s="23" t="str">
        <x:v>EXP-15 37/A1 validation-selected</x:v>
      </x:c>
      <x:c r="C10" s="5" t="n">
        <x:v>0.10939243258577783</x:v>
      </x:c>
      <x:c r="D10" s="10" t="n">
        <x:v>26</x:v>
      </x:c>
      <x:c r="E10" s="10" t="n">
        <x:v>15</x:v>
      </x:c>
      <x:c r="F10" s="10" t="n">
        <x:v>12</x:v>
      </x:c>
      <x:c r="G10" s="10" t="n">
        <x:v>14</x:v>
      </x:c>
      <x:c r="H10" s="10" t="n">
        <x:v>9</x:v>
      </x:c>
      <x:c r="I10" s="10" t="n">
        <x:v>0</x:v>
      </x:c>
      <x:c r="J10" s="10" t="n">
        <x:v>0</x:v>
      </x:c>
      <x:c r="K10" s="10" t="n">
        <x:v>0</x:v>
      </x:c>
      <x:c r="L10" s="10" t="n">
        <x:v>0</x:v>
      </x:c>
      <x:c r="M10" s="5" t="str">
        <x:v>b28511812f5e481684dbc36a2032a9555a3f29117a633c67695fa9e4594505c5</x:v>
      </x:c>
      <x:c r="N10" s="5" t="str">
        <x:v>S009</x:v>
      </x:c>
      <x:c r="O10" s="5" t="str">
        <x:v>S008</x:v>
      </x:c>
    </x:row>
    <x:row r="11" ht="43" customHeight="1">
      <x:c r="A11" s="11" t="n">
        <x:v>5</x:v>
      </x:c>
      <x:c r="B11" s="24" t="str">
        <x:v>EXP-15 41/A1 validation-selected</x:v>
      </x:c>
      <x:c r="C11" s="9" t="n">
        <x:v>0.08068934980434257</x:v>
      </x:c>
      <x:c r="D11" s="11" t="n">
        <x:v>19</x:v>
      </x:c>
      <x:c r="E11" s="11" t="n">
        <x:v>27</x:v>
      </x:c>
      <x:c r="F11" s="11" t="n">
        <x:v>29</x:v>
      </x:c>
      <x:c r="G11" s="11" t="n">
        <x:v>19</x:v>
      </x:c>
      <x:c r="H11" s="11" t="n">
        <x:v>24</x:v>
      </x:c>
      <x:c r="I11" s="11" t="n">
        <x:v>29</x:v>
      </x:c>
      <x:c r="J11" s="11" t="n">
        <x:v>55</x:v>
      </x:c>
      <x:c r="K11" s="11" t="n">
        <x:v>0</x:v>
      </x:c>
      <x:c r="L11" s="11" t="n">
        <x:v>0</x:v>
      </x:c>
      <x:c r="M11" s="9" t="str">
        <x:v>8e0e82e8c80ec52c9294950f52e5dbb7edb67d2ca50fbbc27f43458583a72eac</x:v>
      </x:c>
      <x:c r="N11" s="9" t="str">
        <x:v>S009</x:v>
      </x:c>
      <x:c r="O11" s="9" t="str">
        <x:v>S008</x:v>
      </x:c>
    </x:row>
    <x:row r="12" ht="43" customHeight="1">
      <x:c r="A12" s="10" t="n">
        <x:v>6</x:v>
      </x:c>
      <x:c r="B12" s="23" t="str">
        <x:v>EXP-15 41/A2 validation-selected</x:v>
      </x:c>
      <x:c r="C12" s="5" t="n">
        <x:v>0.07556555890500527</x:v>
      </x:c>
      <x:c r="D12" s="10" t="n">
        <x:v>48</x:v>
      </x:c>
      <x:c r="E12" s="10" t="n">
        <x:v>74</x:v>
      </x:c>
      <x:c r="F12" s="10" t="n">
        <x:v>75</x:v>
      </x:c>
      <x:c r="G12" s="10" t="n">
        <x:v>108</x:v>
      </x:c>
      <x:c r="H12" s="10" t="n">
        <x:v>127</x:v>
      </x:c>
      <x:c r="I12" s="10" t="n">
        <x:v>134</x:v>
      </x:c>
      <x:c r="J12" s="10" t="n">
        <x:v>102</x:v>
      </x:c>
      <x:c r="K12" s="10" t="n">
        <x:v>200</x:v>
      </x:c>
      <x:c r="L12" s="10" t="n">
        <x:v>200</x:v>
      </x:c>
      <x:c r="M12" s="5" t="str">
        <x:v>1684f91acdc36c0ca6aac70afeb9cc2c4eed7ab847926d5880590e059266abb7</x:v>
      </x:c>
      <x:c r="N12" s="5" t="str">
        <x:v>S009</x:v>
      </x:c>
      <x:c r="O12" s="5" t="str">
        <x:v>S008</x:v>
      </x:c>
    </x:row>
    <x:row r="13" ht="43" customHeight="1">
      <x:c r="A13" s="11" t="n">
        <x:v>7</x:v>
      </x:c>
      <x:c r="B13" s="24" t="str">
        <x:v>EXP-15 53/A1 validation-selected</x:v>
      </x:c>
      <x:c r="C13" s="9" t="n">
        <x:v>0.13626467825021227</x:v>
      </x:c>
      <x:c r="D13" s="11" t="n">
        <x:v>0</x:v>
      </x:c>
      <x:c r="E13" s="11" t="n">
        <x:v>0</x:v>
      </x:c>
      <x:c r="F13" s="11" t="n">
        <x:v>0</x:v>
      </x:c>
      <x:c r="G13" s="11" t="n">
        <x:v>0</x:v>
      </x:c>
      <x:c r="H13" s="11" t="n">
        <x:v>0</x:v>
      </x:c>
      <x:c r="I13" s="11" t="n">
        <x:v>0</x:v>
      </x:c>
      <x:c r="J13" s="11" t="n">
        <x:v>0</x:v>
      </x:c>
      <x:c r="K13" s="11" t="n">
        <x:v>0</x:v>
      </x:c>
      <x:c r="L13" s="11" t="n">
        <x:v>0</x:v>
      </x:c>
      <x:c r="M13" s="9" t="str">
        <x:v>c5117b6fc11607b7d9d886f104f9db2f7732b1c189b13d3f64836f636df6937f</x:v>
      </x:c>
      <x:c r="N13" s="9" t="str">
        <x:v>S009</x:v>
      </x:c>
      <x:c r="O13" s="9" t="str">
        <x:v>S008</x:v>
      </x:c>
    </x:row>
    <x:row r="14" ht="43" customHeight="1">
      <x:c r="A14" s="10" t="n">
        <x:v>8</x:v>
      </x:c>
      <x:c r="B14" s="23" t="str">
        <x:v>EXP-15 53/A2 validation-selected</x:v>
      </x:c>
      <x:c r="C14" s="5" t="n">
        <x:v>0.07990090451264008</x:v>
      </x:c>
      <x:c r="D14" s="10" t="n">
        <x:v>45</x:v>
      </x:c>
      <x:c r="E14" s="10" t="n">
        <x:v>35</x:v>
      </x:c>
      <x:c r="F14" s="10" t="n">
        <x:v>34</x:v>
      </x:c>
      <x:c r="G14" s="10" t="n">
        <x:v>31</x:v>
      </x:c>
      <x:c r="H14" s="10" t="n">
        <x:v>17</x:v>
      </x:c>
      <x:c r="I14" s="10" t="n">
        <x:v>14</x:v>
      </x:c>
      <x:c r="J14" s="10" t="n">
        <x:v>43</x:v>
      </x:c>
      <x:c r="K14" s="10" t="n">
        <x:v>0</x:v>
      </x:c>
      <x:c r="L14" s="10" t="n">
        <x:v>0</x:v>
      </x:c>
      <x:c r="M14" s="5" t="str">
        <x:v>3a87caf393828d41396dda16eafb703bca52cd2dcb437ddfe8d86bd90e9904b4</x:v>
      </x:c>
      <x:c r="N14" s="5" t="str">
        <x:v>S009</x:v>
      </x:c>
      <x:c r="O14" s="5" t="str">
        <x:v>S008</x:v>
      </x:c>
    </x:row>
    <x:row r="15" ht="43" customHeight="1">
      <x:c r="A15" s="11" t="n">
        <x:v>9</x:v>
      </x:c>
      <x:c r="B15" s="24" t="str">
        <x:v>fixed midpoint diagnostic</x:v>
      </x:c>
      <x:c r="C15" s="9" t="n">
        <x:v>0.10200368740273043</x:v>
      </x:c>
      <x:c r="D15" s="11" t="n">
        <x:v>37</x:v>
      </x:c>
      <x:c r="E15" s="11" t="n">
        <x:v>38</x:v>
      </x:c>
      <x:c r="F15" s="11" t="n">
        <x:v>44</x:v>
      </x:c>
      <x:c r="G15" s="11" t="n">
        <x:v>15</x:v>
      </x:c>
      <x:c r="H15" s="11" t="n">
        <x:v>22</x:v>
      </x:c>
      <x:c r="I15" s="11" t="n">
        <x:v>23</x:v>
      </x:c>
      <x:c r="J15" s="11" t="n">
        <x:v>0</x:v>
      </x:c>
      <x:c r="K15" s="11" t="n">
        <x:v>0</x:v>
      </x:c>
      <x:c r="L15" s="11" t="n">
        <x:v>0</x:v>
      </x:c>
      <x:c r="M15" s="9" t="str">
        <x:v>8f3210c35ab0f25b643618ad45c6b108333bcce4a159ac3216a916bc914f8f95</x:v>
      </x:c>
      <x:c r="N15" s="9" t="str">
        <x:v>S009</x:v>
      </x:c>
      <x:c r="O15" s="9" t="str">
        <x:v>S008</x:v>
      </x:c>
    </x:row>
    <x:row r="16" ht="43" customHeight="1">
      <x:c r="A16" s="10" t="n">
        <x:v>10</x:v>
      </x:c>
      <x:c r="B16" s="23" t="str">
        <x:v>fixed uniform diagnostic</x:v>
      </x:c>
      <x:c r="C16" s="5" t="n">
        <x:v>0.16572552151486367</x:v>
      </x:c>
      <x:c r="D16" s="10" t="n">
        <x:v>0</x:v>
      </x:c>
      <x:c r="E16" s="10" t="n">
        <x:v>0</x:v>
      </x:c>
      <x:c r="F16" s="10" t="n">
        <x:v>0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5" t="str">
        <x:v>509860bf181070c1d6b015c45d86d3f937e10fb80d6558f0d8ba0d10a997b5b0</x:v>
      </x:c>
      <x:c r="N16" s="5" t="str">
        <x:v>S009</x:v>
      </x:c>
      <x:c r="O16" s="5" t="str">
        <x:v>S008</x:v>
      </x:c>
    </x:row>
  </x:sheetData>
  <x:pageMargins left="0.7" right="0.7" top="0.75" bottom="0.75" header="0.3" footer="0.3"/>
  <x:tableParts count="1">
    <x:tablePart xmlns:r="http://schemas.openxmlformats.org/officeDocument/2006/relationships" r:id="R5f6f9c87be6c410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3" hidden="0" customWidth="1"/>
    <x:col min="3" max="3" width="33" hidden="0" customWidth="1"/>
    <x:col min="4" max="4" width="30" hidden="0" customWidth="1"/>
    <x:col min="5" max="5" width="15" hidden="0" customWidth="1"/>
    <x:col min="6" max="6" width="28" hidden="0" customWidth="1"/>
    <x:col min="7" max="7" width="55" hidden="0" customWidth="1"/>
    <x:col min="8" max="8" width="15" hidden="0" customWidth="1"/>
  </x:cols>
  <x:sheetData>
    <x:row r="1" ht="29" customHeight="1">
      <x:c r="A1" s="1" t="str">
        <x:v>T1 : débit et correction de la suspension</x:v>
      </x:c>
    </x:row>
    <x:row r="2" ht="21" customHeight="1">
      <x:c r="A2" s="2" t="str">
        <x:v>La mesure originale affectée reste visible. Les moyennes corrigées l’excluent.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Durées monotones en secondes pour 24 trajectoires. Même science à chaque niveau de parallélisme.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Étape</x:v>
      </x:c>
      <x:c r="B5" s="8" t="str">
        <x:v>Tour</x:v>
      </x:c>
      <x:c r="C5" s="8" t="str">
        <x:v>Workers</x:v>
      </x:c>
      <x:c r="D5" s="8" t="str">
        <x:v>Durée monotone s</x:v>
      </x:c>
      <x:c r="E5" s="8" t="str">
        <x:v>Trajectoires</x:v>
      </x:c>
      <x:c r="F5" s="8" t="str">
        <x:v>Retenue débit corrigé</x:v>
      </x:c>
      <x:c r="G5" s="8" t="str">
        <x:v>Statut de mesure</x:v>
      </x:c>
      <x:c r="H5" s="8" t="str">
        <x:v>Source</x:v>
      </x:c>
    </x:row>
    <x:row r="6" ht="22" customHeight="1">
      <x:c r="A6" s="5" t="str">
        <x:v>T1</x:v>
      </x:c>
      <x:c r="B6" s="10" t="n">
        <x:v>0</x:v>
      </x:c>
      <x:c r="C6" s="10" t="n">
        <x:v>4</x:v>
      </x:c>
      <x:c r="D6" s="20" t="n">
        <x:v>19.709682749999047</x:v>
      </x:c>
      <x:c r="E6" s="10" t="n">
        <x:v>24</x:v>
      </x:c>
      <x:c r="F6" s="10" t="n">
        <x:v>1</x:v>
      </x:c>
      <x:c r="G6" s="5" t="str">
        <x:v>Mesure originale conservée</x:v>
      </x:c>
      <x:c r="H6" s="5" t="str">
        <x:v>S010</x:v>
      </x:c>
    </x:row>
    <x:row r="7" ht="22" customHeight="1">
      <x:c r="A7" s="9" t="str">
        <x:v>T1</x:v>
      </x:c>
      <x:c r="B7" s="11" t="n">
        <x:v>0</x:v>
      </x:c>
      <x:c r="C7" s="11" t="n">
        <x:v>1</x:v>
      </x:c>
      <x:c r="D7" s="21" t="n">
        <x:v>87.1000423680016</x:v>
      </x:c>
      <x:c r="E7" s="11" t="n">
        <x:v>24</x:v>
      </x:c>
      <x:c r="F7" s="11" t="n">
        <x:v>0</x:v>
      </x:c>
      <x:c r="G7" s="9" t="str">
        <x:v>Suspension : remplacée pour le débit</x:v>
      </x:c>
      <x:c r="H7" s="9" t="str">
        <x:v>S010</x:v>
      </x:c>
    </x:row>
    <x:row r="8" ht="22" customHeight="1">
      <x:c r="A8" s="5" t="str">
        <x:v>T1</x:v>
      </x:c>
      <x:c r="B8" s="10" t="n">
        <x:v>0</x:v>
      </x:c>
      <x:c r="C8" s="10" t="n">
        <x:v>16</x:v>
      </x:c>
      <x:c r="D8" s="20" t="n">
        <x:v>7.490196931001265</x:v>
      </x:c>
      <x:c r="E8" s="10" t="n">
        <x:v>24</x:v>
      </x:c>
      <x:c r="F8" s="10" t="n">
        <x:v>1</x:v>
      </x:c>
      <x:c r="G8" s="5" t="str">
        <x:v>Mesure originale conservée</x:v>
      </x:c>
      <x:c r="H8" s="5" t="str">
        <x:v>S010</x:v>
      </x:c>
    </x:row>
    <x:row r="9" ht="22" customHeight="1">
      <x:c r="A9" s="9" t="str">
        <x:v>T1</x:v>
      </x:c>
      <x:c r="B9" s="11" t="n">
        <x:v>0</x:v>
      </x:c>
      <x:c r="C9" s="11" t="n">
        <x:v>8</x:v>
      </x:c>
      <x:c r="D9" s="21" t="n">
        <x:v>10.177928970995708</x:v>
      </x:c>
      <x:c r="E9" s="11" t="n">
        <x:v>24</x:v>
      </x:c>
      <x:c r="F9" s="11" t="n">
        <x:v>1</x:v>
      </x:c>
      <x:c r="G9" s="9" t="str">
        <x:v>Mesure originale conservée</x:v>
      </x:c>
      <x:c r="H9" s="9" t="str">
        <x:v>S010</x:v>
      </x:c>
    </x:row>
    <x:row r="10" ht="22" customHeight="1">
      <x:c r="A10" s="5" t="str">
        <x:v>T1</x:v>
      </x:c>
      <x:c r="B10" s="10" t="n">
        <x:v>1</x:v>
      </x:c>
      <x:c r="C10" s="10" t="n">
        <x:v>16</x:v>
      </x:c>
      <x:c r="D10" s="20" t="n">
        <x:v>7.3673990410025</x:v>
      </x:c>
      <x:c r="E10" s="10" t="n">
        <x:v>24</x:v>
      </x:c>
      <x:c r="F10" s="10" t="n">
        <x:v>1</x:v>
      </x:c>
      <x:c r="G10" s="5" t="str">
        <x:v>Mesure originale conservée</x:v>
      </x:c>
      <x:c r="H10" s="5" t="str">
        <x:v>S010</x:v>
      </x:c>
    </x:row>
    <x:row r="11" ht="22" customHeight="1">
      <x:c r="A11" s="9" t="str">
        <x:v>T1</x:v>
      </x:c>
      <x:c r="B11" s="11" t="n">
        <x:v>1</x:v>
      </x:c>
      <x:c r="C11" s="11" t="n">
        <x:v>8</x:v>
      </x:c>
      <x:c r="D11" s="21" t="n">
        <x:v>9.549637572003121</x:v>
      </x:c>
      <x:c r="E11" s="11" t="n">
        <x:v>24</x:v>
      </x:c>
      <x:c r="F11" s="11" t="n">
        <x:v>1</x:v>
      </x:c>
      <x:c r="G11" s="9" t="str">
        <x:v>Mesure originale conservée</x:v>
      </x:c>
      <x:c r="H11" s="9" t="str">
        <x:v>S010</x:v>
      </x:c>
    </x:row>
    <x:row r="12" ht="22" customHeight="1">
      <x:c r="A12" s="5" t="str">
        <x:v>T1</x:v>
      </x:c>
      <x:c r="B12" s="10" t="n">
        <x:v>1</x:v>
      </x:c>
      <x:c r="C12" s="10" t="n">
        <x:v>4</x:v>
      </x:c>
      <x:c r="D12" s="20" t="n">
        <x:v>15.540143115002138</x:v>
      </x:c>
      <x:c r="E12" s="10" t="n">
        <x:v>24</x:v>
      </x:c>
      <x:c r="F12" s="10" t="n">
        <x:v>1</x:v>
      </x:c>
      <x:c r="G12" s="5" t="str">
        <x:v>Mesure originale conservée</x:v>
      </x:c>
      <x:c r="H12" s="5" t="str">
        <x:v>S010</x:v>
      </x:c>
    </x:row>
    <x:row r="13" ht="22" customHeight="1">
      <x:c r="A13" s="9" t="str">
        <x:v>T1</x:v>
      </x:c>
      <x:c r="B13" s="11" t="n">
        <x:v>1</x:v>
      </x:c>
      <x:c r="C13" s="11" t="n">
        <x:v>1</x:v>
      </x:c>
      <x:c r="D13" s="21" t="n">
        <x:v>52.627924856999016</x:v>
      </x:c>
      <x:c r="E13" s="11" t="n">
        <x:v>24</x:v>
      </x:c>
      <x:c r="F13" s="11" t="n">
        <x:v>1</x:v>
      </x:c>
      <x:c r="G13" s="9" t="str">
        <x:v>Mesure originale conservée</x:v>
      </x:c>
      <x:c r="H13" s="9" t="str">
        <x:v>S010</x:v>
      </x:c>
    </x:row>
    <x:row r="14" ht="22" customHeight="1">
      <x:c r="A14" s="5" t="str">
        <x:v>T1-R1</x:v>
      </x:c>
      <x:c r="B14" s="10" t="n">
        <x:v>0</x:v>
      </x:c>
      <x:c r="C14" s="10" t="n">
        <x:v>1</x:v>
      </x:c>
      <x:c r="D14" s="20" t="n">
        <x:v>55.690285639997455</x:v>
      </x:c>
      <x:c r="E14" s="10" t="n">
        <x:v>24</x:v>
      </x:c>
      <x:c r="F14" s="10" t="n">
        <x:v>1</x:v>
      </x:c>
      <x:c r="G14" s="5" t="str">
        <x:v>Remplacement prospectif, mêmes résultats</x:v>
      </x:c>
      <x:c r="H14" s="5" t="str">
        <x:v>S011</x:v>
      </x:c>
    </x:row>
    <x:row r="19" ht="44" customHeight="1">
      <x:c r="A19" s="8" t="str">
        <x:v>Workers</x:v>
      </x:c>
      <x:c r="B19" s="8" t="str">
        <x:v>Durée moyenne corrigée s</x:v>
      </x:c>
      <x:c r="C19" s="8" t="str">
        <x:v>Secondes par trajectoire</x:v>
      </x:c>
      <x:c r="D19" s="8" t="str">
        <x:v>Accélération vs série</x:v>
      </x:c>
      <x:c r="E19" s="8" t="str">
        <x:v>Source</x:v>
      </x:c>
    </x:row>
    <x:row r="20" ht="22" customHeight="1">
      <x:c r="A20" s="10" t="n">
        <x:v>1</x:v>
      </x:c>
      <x:c r="B20" s="20" t="n">
        <x:f>AVERAGEIFS(D6:D14,C6:C14,A20,F6:F14,1)</x:f>
        <x:v>54.159105248498236</x:v>
      </x:c>
      <x:c r="C20" s="5" t="n">
        <x:f>B20/24</x:f>
        <x:v>2.2566293853540933</x:v>
      </x:c>
      <x:c r="D20" s="20" t="n">
        <x:f>$B$20/B20</x:f>
        <x:v>1</x:v>
      </x:c>
      <x:c r="E20" s="5" t="str">
        <x:v>S011</x:v>
      </x:c>
    </x:row>
    <x:row r="21" ht="22" customHeight="1">
      <x:c r="A21" s="11" t="n">
        <x:v>4</x:v>
      </x:c>
      <x:c r="B21" s="21" t="n">
        <x:f>AVERAGEIFS(D6:D14,C6:C14,A21,F6:F14,1)</x:f>
        <x:v>17.624912932500592</x:v>
      </x:c>
      <x:c r="C21" s="9" t="n">
        <x:f>B21/24</x:f>
        <x:v>0.7343713721875247</x:v>
      </x:c>
      <x:c r="D21" s="21" t="n">
        <x:f>$B$20/B21</x:f>
        <x:v>3.072872215364427</x:v>
      </x:c>
      <x:c r="E21" s="9" t="str">
        <x:v>S011</x:v>
      </x:c>
    </x:row>
    <x:row r="22" ht="22" customHeight="1">
      <x:c r="A22" s="10" t="n">
        <x:v>8</x:v>
      </x:c>
      <x:c r="B22" s="20" t="n">
        <x:f>AVERAGEIFS(D6:D14,C6:C14,A22,F6:F14,1)</x:f>
        <x:v>9.863783271499415</x:v>
      </x:c>
      <x:c r="C22" s="5" t="n">
        <x:f>B22/24</x:f>
        <x:v>0.41099096964580895</x:v>
      </x:c>
      <x:c r="D22" s="20" t="n">
        <x:f>$B$20/B22</x:f>
        <x:v>5.49070308600418</x:v>
      </x:c>
      <x:c r="E22" s="5" t="str">
        <x:v>S011</x:v>
      </x:c>
    </x:row>
    <x:row r="23" ht="22" customHeight="1">
      <x:c r="A23" s="11" t="n">
        <x:v>16</x:v>
      </x:c>
      <x:c r="B23" s="21" t="n">
        <x:f>AVERAGEIFS(D6:D14,C6:C14,A23,F6:F14,1)</x:f>
        <x:v>7.428797986001882</x:v>
      </x:c>
      <x:c r="C23" s="9" t="n">
        <x:f>B23/24</x:f>
        <x:v>0.3095332494167451</x:v>
      </x:c>
      <x:c r="D23" s="21" t="n">
        <x:f>$B$20/B23</x:f>
        <x:v>7.290426439183093</x:v>
      </x:c>
      <x:c r="E23" s="9" t="str">
        <x:v>S011</x:v>
      </x:c>
    </x:row>
  </x:sheetData>
  <x:pageMargins left="0.7" right="0.7" top="0.75" bottom="0.75" header="0.3" footer="0.3"/>
  <x:tableParts count="2">
    <x:tablePart xmlns:r="http://schemas.openxmlformats.org/officeDocument/2006/relationships" r:id="Rce06259fd8464481"/>
    <x:tablePart xmlns:r="http://schemas.openxmlformats.org/officeDocument/2006/relationships" r:id="R661be9529add4b8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27" hidden="0" customWidth="1"/>
    <x:col min="5" max="5" width="15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  <x:col min="11" max="11" width="24" hidden="0" customWidth="1"/>
    <x:col min="12" max="12" width="15" hidden="0" customWidth="1"/>
    <x:col min="13" max="13" width="26" hidden="0" customWidth="1"/>
    <x:col min="14" max="14" width="26" hidden="0" customWidth="1"/>
    <x:col min="15" max="15" width="72" hidden="0" customWidth="1"/>
    <x:col min="16" max="16" width="15" hidden="0" customWidth="1"/>
  </x:cols>
  <x:sheetData>
    <x:row r="1" ht="29" customHeight="1">
      <x:c r="A1" s="1" t="str">
        <x:v>F1 : une proposition par parent fixé</x:v>
      </x:c>
    </x:row>
    <x:row r="2" ht="21" customHeight="1">
      <x:c r="A2" s="2" t="str">
        <x:v>6 blocs, deux parents fixés, 4 conditions. Regret de déploiement avec repli seed commun.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Cellule vide : valeur absente, jamais un zéro imputé.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Bloc</x:v>
      </x:c>
      <x:c r="B5" s="8" t="str">
        <x:v>Condition</x:v>
      </x:c>
      <x:c r="C5" s="8" t="str">
        <x:v>Parent</x:v>
      </x:c>
      <x:c r="D5" s="8" t="str">
        <x:v>AUC validation</x:v>
      </x:c>
      <x:c r="E5" s="8" t="str">
        <x:v>Regret final</x:v>
      </x:c>
      <x:c r="F5" s="8" t="str">
        <x:v>Cible atteinte</x:v>
      </x:c>
      <x:c r="G5" s="8" t="str">
        <x:v>Temps cible censuré</x:v>
      </x:c>
      <x:c r="H5" s="8" t="str">
        <x:v>Éligible train</x:v>
      </x:c>
      <x:c r="I5" s="8" t="str">
        <x:v>Trajectoires valides</x:v>
      </x:c>
      <x:c r="J5" s="8" t="str">
        <x:v>Trajectoires repli</x:v>
      </x:c>
      <x:c r="K5" s="8" t="str">
        <x:v>Statut source</x:v>
      </x:c>
      <x:c r="L5" s="8" t="str">
        <x:v>Fin</x:v>
      </x:c>
      <x:c r="M5" s="8" t="str">
        <x:v>AUC parent inchangé</x:v>
      </x:c>
      <x:c r="N5" s="8" t="str">
        <x:v>AUC seed inchangé</x:v>
      </x:c>
      <x:c r="O5" s="8" t="str">
        <x:v>SHA-256 source</x:v>
      </x:c>
      <x:c r="P5" s="8" t="str">
        <x:v>Source</x:v>
      </x:c>
    </x:row>
    <x:row r="6" ht="22" customHeight="1">
      <x:c r="A6" s="10" t="n">
        <x:v>16301</x:v>
      </x:c>
      <x:c r="B6" s="5" t="str">
        <x:v>legacy_code</x:v>
      </x:c>
      <x:c r="C6" s="5" t="str">
        <x:v>seed</x:v>
      </x:c>
      <x:c r="D6" s="5" t="n">
        <x:v>0.3496672130274682</x:v>
      </x:c>
      <x:c r="E6" s="5" t="n">
        <x:v>0.22915186592647008</x:v>
      </x:c>
      <x:c r="F6" s="12" t="n">
        <x:v>0.16666666666666666</x:v>
      </x:c>
      <x:c r="G6" s="5" t="n">
        <x:v>27.666666666666668</x:v>
      </x:c>
      <x:c r="H6" s="10" t="n">
        <x:v>1</x:v>
      </x:c>
      <x:c r="I6" s="10" t="n">
        <x:v>6</x:v>
      </x:c>
      <x:c r="J6" s="10" t="n">
        <x:v>0</x:v>
      </x:c>
      <x:c r="K6" s="5" t="str">
        <x:v>valid</x:v>
      </x:c>
      <x:c r="L6" s="5" t="str">
        <x:v>stop</x:v>
      </x:c>
      <x:c r="M6" s="5" t="n">
        <x:v>0.09707423446395776</x:v>
      </x:c>
      <x:c r="N6" s="5" t="n">
        <x:v>0.09707423446395776</x:v>
      </x:c>
      <x:c r="O6" s="5" t="str">
        <x:v>a726899444ef011723f9c8b7c07f8950c06aa15e10835255818b5bbcd8f5b0d0</x:v>
      </x:c>
      <x:c r="P6" s="5" t="str">
        <x:v>S012</x:v>
      </x:c>
    </x:row>
    <x:row r="7" ht="22" customHeight="1">
      <x:c r="A7" s="11" t="n">
        <x:v>16301</x:v>
      </x:c>
      <x:c r="B7" s="9" t="str">
        <x:v>anytime_code</x:v>
      </x:c>
      <x:c r="C7" s="9" t="str">
        <x:v>seed</x:v>
      </x:c>
      <x:c r="D7" s="9" t="n">
        <x:v>0.09707423446395776</x:v>
      </x:c>
      <x:c r="E7" s="9" t="n">
        <x:v>0.020724301631814948</x:v>
      </x:c>
      <x:c r="F7" s="13" t="n">
        <x:v>0.6666666666666666</x:v>
      </x:c>
      <x:c r="G7" s="9" t="n">
        <x:v>17.666666666666668</x:v>
      </x:c>
      <x:c r="H7" s="11" t="n">
        <x:v>0</x:v>
      </x:c>
      <x:c r="I7" s="11" t="n">
        <x:v>0</x:v>
      </x:c>
      <x:c r="J7" s="11" t="n">
        <x:v>6</x:v>
      </x:c>
      <x:c r="K7" s="9" t="str">
        <x:v>missing_source</x:v>
      </x:c>
      <x:c r="L7" s="9" t="str">
        <x:v>stop</x:v>
      </x:c>
      <x:c r="M7" s="9" t="n">
        <x:v>0.09707423446395776</x:v>
      </x:c>
      <x:c r="N7" s="9" t="n">
        <x:v>0.09707423446395776</x:v>
      </x:c>
      <x:c r="O7" s="9" t="str">
        <x:v>e3b0c44298fc1c149afbf4c8996fb92427ae41e4649b934ca495991b7852b855</x:v>
      </x:c>
      <x:c r="P7" s="9" t="str">
        <x:v>S012</x:v>
      </x:c>
    </x:row>
    <x:row r="8" ht="22" customHeight="1">
      <x:c r="A8" s="10" t="n">
        <x:v>16301</x:v>
      </x:c>
      <x:c r="B8" s="5" t="str">
        <x:v>anytime_sparse</x:v>
      </x:c>
      <x:c r="C8" s="5" t="str">
        <x:v>seed</x:v>
      </x:c>
      <x:c r="D8" s="5" t="n">
        <x:v>0.11119856942219788</x:v>
      </x:c>
      <x:c r="E8" s="5" t="n">
        <x:v>0.010382372491411787</x:v>
      </x:c>
      <x:c r="F8" s="12" t="n">
        <x:v>0.6666666666666666</x:v>
      </x:c>
      <x:c r="G8" s="5" t="n">
        <x:v>22.333333333333332</x:v>
      </x:c>
      <x:c r="H8" s="10" t="n">
        <x:v>1</x:v>
      </x:c>
      <x:c r="I8" s="10" t="n">
        <x:v>6</x:v>
      </x:c>
      <x:c r="J8" s="10" t="n">
        <x:v>0</x:v>
      </x:c>
      <x:c r="K8" s="5" t="str">
        <x:v>valid</x:v>
      </x:c>
      <x:c r="L8" s="5" t="str">
        <x:v>stop</x:v>
      </x:c>
      <x:c r="M8" s="5" t="n">
        <x:v>0.09707423446395776</x:v>
      </x:c>
      <x:c r="N8" s="5" t="n">
        <x:v>0.09707423446395776</x:v>
      </x:c>
      <x:c r="O8" s="5" t="str">
        <x:v>fb97f6e6b5c4705a89075f069902a893cebd1ddf73c3231b7805276475c8646f</x:v>
      </x:c>
      <x:c r="P8" s="5" t="str">
        <x:v>S012</x:v>
      </x:c>
    </x:row>
    <x:row r="9" ht="22" customHeight="1">
      <x:c r="A9" s="11" t="n">
        <x:v>16301</x:v>
      </x:c>
      <x:c r="B9" s="9" t="str">
        <x:v>anytime_rich</x:v>
      </x:c>
      <x:c r="C9" s="9" t="str">
        <x:v>seed</x:v>
      </x:c>
      <x:c r="D9" s="9" t="n">
        <x:v>0.09707423446395776</x:v>
      </x:c>
      <x:c r="E9" s="9" t="n">
        <x:v>0.020724301631814948</x:v>
      </x:c>
      <x:c r="F9" s="13" t="n">
        <x:v>0.6666666666666666</x:v>
      </x:c>
      <x:c r="G9" s="9" t="n">
        <x:v>17.666666666666668</x:v>
      </x:c>
      <x:c r="H9" s="11" t="n">
        <x:v>0</x:v>
      </x:c>
      <x:c r="I9" s="11" t="n">
        <x:v>0</x:v>
      </x:c>
      <x:c r="J9" s="11" t="n">
        <x:v>6</x:v>
      </x:c>
      <x:c r="K9" s="9" t="str">
        <x:v>missing_source</x:v>
      </x:c>
      <x:c r="L9" s="9" t="str">
        <x:v>length</x:v>
      </x:c>
      <x:c r="M9" s="9" t="n">
        <x:v>0.09707423446395776</x:v>
      </x:c>
      <x:c r="N9" s="9" t="n">
        <x:v>0.09707423446395776</x:v>
      </x:c>
      <x:c r="O9" s="9" t="str">
        <x:v>e3b0c44298fc1c149afbf4c8996fb92427ae41e4649b934ca495991b7852b855</x:v>
      </x:c>
      <x:c r="P9" s="9" t="str">
        <x:v>S012</x:v>
      </x:c>
    </x:row>
    <x:row r="10" ht="22" customHeight="1">
      <x:c r="A10" s="10" t="n">
        <x:v>16302</x:v>
      </x:c>
      <x:c r="B10" s="5" t="str">
        <x:v>legacy_code</x:v>
      </x:c>
      <x:c r="C10" s="5" t="str">
        <x:v>representative</x:v>
      </x:c>
      <x:c r="D10" s="5" t="n">
        <x:v>0.04536926613681985</x:v>
      </x:c>
      <x:c r="E10" s="5" t="n">
        <x:v>0.002195602841908223</x:v>
      </x:c>
      <x:c r="F10" s="12" t="n">
        <x:v>1</x:v>
      </x:c>
      <x:c r="G10" s="5" t="n">
        <x:v>15.833333333333334</x:v>
      </x:c>
      <x:c r="H10" s="10" t="n">
        <x:v>1</x:v>
      </x:c>
      <x:c r="I10" s="10" t="n">
        <x:v>6</x:v>
      </x:c>
      <x:c r="J10" s="10" t="n">
        <x:v>0</x:v>
      </x:c>
      <x:c r="K10" s="5" t="str">
        <x:v>valid</x:v>
      </x:c>
      <x:c r="L10" s="5" t="str">
        <x:v>stop</x:v>
      </x:c>
      <x:c r="M10" s="5" t="n">
        <x:v>0.04388268243068305</x:v>
      </x:c>
      <x:c r="N10" s="5" t="n">
        <x:v>0.15176864126975287</x:v>
      </x:c>
      <x:c r="O10" s="5" t="str">
        <x:v>07b5e3cda9b969547854058c80fe01b909a1a102225ce409cfe3a3e637192308</x:v>
      </x:c>
      <x:c r="P10" s="5" t="str">
        <x:v>S012</x:v>
      </x:c>
    </x:row>
    <x:row r="11" ht="22" customHeight="1">
      <x:c r="A11" s="11" t="n">
        <x:v>16302</x:v>
      </x:c>
      <x:c r="B11" s="9" t="str">
        <x:v>anytime_code</x:v>
      </x:c>
      <x:c r="C11" s="9" t="str">
        <x:v>representative</x:v>
      </x:c>
      <x:c r="D11" s="9" t="n">
        <x:v>0.15176864126975287</x:v>
      </x:c>
      <x:c r="E11" s="9" t="n">
        <x:v>0.015784444766126185</x:v>
      </x:c>
      <x:c r="F11" s="13" t="n">
        <x:v>0.6666666666666666</x:v>
      </x:c>
      <x:c r="G11" s="9" t="n">
        <x:v>22.666666666666668</x:v>
      </x:c>
      <x:c r="H11" s="11" t="n">
        <x:v>0</x:v>
      </x:c>
      <x:c r="I11" s="11" t="n">
        <x:v>0</x:v>
      </x:c>
      <x:c r="J11" s="11" t="n">
        <x:v>6</x:v>
      </x:c>
      <x:c r="K11" s="9" t="str">
        <x:v>missing_source</x:v>
      </x:c>
      <x:c r="L11" s="9" t="str">
        <x:v>length</x:v>
      </x:c>
      <x:c r="M11" s="9" t="n">
        <x:v>0.04388268243068305</x:v>
      </x:c>
      <x:c r="N11" s="9" t="n">
        <x:v>0.15176864126975287</x:v>
      </x:c>
      <x:c r="O11" s="9" t="str">
        <x:v>e3b0c44298fc1c149afbf4c8996fb92427ae41e4649b934ca495991b7852b855</x:v>
      </x:c>
      <x:c r="P11" s="9" t="str">
        <x:v>S012</x:v>
      </x:c>
    </x:row>
    <x:row r="12" ht="22" customHeight="1">
      <x:c r="A12" s="10" t="n">
        <x:v>16302</x:v>
      </x:c>
      <x:c r="B12" s="5" t="str">
        <x:v>anytime_sparse</x:v>
      </x:c>
      <x:c r="C12" s="5" t="str">
        <x:v>representative</x:v>
      </x:c>
      <x:c r="D12" s="5" t="n">
        <x:v>0.012804593404700615</x:v>
      </x:c>
      <x:c r="E12" s="5" t="n">
        <x:v>0.0004023997090558283</x:v>
      </x:c>
      <x:c r="F12" s="12" t="n">
        <x:v>1</x:v>
      </x:c>
      <x:c r="G12" s="5" t="n">
        <x:v>8.333333333333334</x:v>
      </x:c>
      <x:c r="H12" s="10" t="n">
        <x:v>1</x:v>
      </x:c>
      <x:c r="I12" s="10" t="n">
        <x:v>6</x:v>
      </x:c>
      <x:c r="J12" s="10" t="n">
        <x:v>0</x:v>
      </x:c>
      <x:c r="K12" s="5" t="str">
        <x:v>valid</x:v>
      </x:c>
      <x:c r="L12" s="5" t="str">
        <x:v>stop</x:v>
      </x:c>
      <x:c r="M12" s="5" t="n">
        <x:v>0.04388268243068305</x:v>
      </x:c>
      <x:c r="N12" s="5" t="n">
        <x:v>0.15176864126975287</x:v>
      </x:c>
      <x:c r="O12" s="5" t="str">
        <x:v>c7874bbd3829ec65c2ddcc2feee8fa123b29420daa7a125263f2a613d6b59eef</x:v>
      </x:c>
      <x:c r="P12" s="5" t="str">
        <x:v>S012</x:v>
      </x:c>
    </x:row>
    <x:row r="13" ht="22" customHeight="1">
      <x:c r="A13" s="11" t="n">
        <x:v>16302</x:v>
      </x:c>
      <x:c r="B13" s="9" t="str">
        <x:v>anytime_rich</x:v>
      </x:c>
      <x:c r="C13" s="9" t="str">
        <x:v>representative</x:v>
      </x:c>
      <x:c r="D13" s="9" t="n">
        <x:v>0.13262489352579826</x:v>
      </x:c>
      <x:c r="E13" s="9" t="n">
        <x:v>0.030715444154383927</x:v>
      </x:c>
      <x:c r="F13" s="13" t="n">
        <x:v>0.6666666666666666</x:v>
      </x:c>
      <x:c r="G13" s="9" t="n">
        <x:v>15.666666666666666</x:v>
      </x:c>
      <x:c r="H13" s="11" t="n">
        <x:v>1</x:v>
      </x:c>
      <x:c r="I13" s="11" t="n">
        <x:v>6</x:v>
      </x:c>
      <x:c r="J13" s="11" t="n">
        <x:v>0</x:v>
      </x:c>
      <x:c r="K13" s="9" t="str">
        <x:v>valid</x:v>
      </x:c>
      <x:c r="L13" s="9" t="str">
        <x:v>stop</x:v>
      </x:c>
      <x:c r="M13" s="9" t="n">
        <x:v>0.04388268243068305</x:v>
      </x:c>
      <x:c r="N13" s="9" t="n">
        <x:v>0.15176864126975287</x:v>
      </x:c>
      <x:c r="O13" s="9" t="str">
        <x:v>63f7f20b01a118cc8040ab24b21442f00e72207c8bb2ddd41d66a3d1679b1f56</x:v>
      </x:c>
      <x:c r="P13" s="9" t="str">
        <x:v>S012</x:v>
      </x:c>
    </x:row>
    <x:row r="14" ht="22" customHeight="1">
      <x:c r="A14" s="10" t="n">
        <x:v>16303</x:v>
      </x:c>
      <x:c r="B14" s="5" t="str">
        <x:v>legacy_code</x:v>
      </x:c>
      <x:c r="C14" s="5" t="str">
        <x:v>seed</x:v>
      </x:c>
      <x:c r="D14" s="5" t="n">
        <x:v>0.13016605517331323</x:v>
      </x:c>
      <x:c r="E14" s="5" t="n">
        <x:v>0.03811896986296616</x:v>
      </x:c>
      <x:c r="F14" s="12" t="n">
        <x:v>0.3333333333333333</x:v>
      </x:c>
      <x:c r="G14" s="5" t="n">
        <x:v>30.833333333333332</x:v>
      </x:c>
      <x:c r="H14" s="10" t="n">
        <x:v>1</x:v>
      </x:c>
      <x:c r="I14" s="10" t="n">
        <x:v>6</x:v>
      </x:c>
      <x:c r="J14" s="10" t="n">
        <x:v>0</x:v>
      </x:c>
      <x:c r="K14" s="5" t="str">
        <x:v>valid</x:v>
      </x:c>
      <x:c r="L14" s="5" t="str">
        <x:v>stop</x:v>
      </x:c>
      <x:c r="M14" s="5" t="n">
        <x:v>0.1508940028289083</x:v>
      </x:c>
      <x:c r="N14" s="5" t="n">
        <x:v>0.1508940028289083</x:v>
      </x:c>
      <x:c r="O14" s="5" t="str">
        <x:v>37f0ffda7b1c044cead83a101a4d4120bdc738fde71f7fa219e93327313e6b63</x:v>
      </x:c>
      <x:c r="P14" s="5" t="str">
        <x:v>S012</x:v>
      </x:c>
    </x:row>
    <x:row r="15" ht="22" customHeight="1">
      <x:c r="A15" s="11" t="n">
        <x:v>16303</x:v>
      </x:c>
      <x:c r="B15" s="9" t="str">
        <x:v>anytime_code</x:v>
      </x:c>
      <x:c r="C15" s="9" t="str">
        <x:v>seed</x:v>
      </x:c>
      <x:c r="D15" s="9" t="n">
        <x:v>0.16740308567927556</x:v>
      </x:c>
      <x:c r="E15" s="9" t="n">
        <x:v>0.048599940782991895</x:v>
      </x:c>
      <x:c r="F15" s="13" t="n">
        <x:v>0.5</x:v>
      </x:c>
      <x:c r="G15" s="9" t="n">
        <x:v>23</x:v>
      </x:c>
      <x:c r="H15" s="11" t="n">
        <x:v>1</x:v>
      </x:c>
      <x:c r="I15" s="11" t="n">
        <x:v>6</x:v>
      </x:c>
      <x:c r="J15" s="11" t="n">
        <x:v>0</x:v>
      </x:c>
      <x:c r="K15" s="9" t="str">
        <x:v>valid</x:v>
      </x:c>
      <x:c r="L15" s="9" t="str">
        <x:v>stop</x:v>
      </x:c>
      <x:c r="M15" s="9" t="n">
        <x:v>0.1508940028289083</x:v>
      </x:c>
      <x:c r="N15" s="9" t="n">
        <x:v>0.1508940028289083</x:v>
      </x:c>
      <x:c r="O15" s="9" t="str">
        <x:v>4716c1b4708c54c73afbabaa1e9835ae98a3553c1e3e26628ed84df2c1696256</x:v>
      </x:c>
      <x:c r="P15" s="9" t="str">
        <x:v>S012</x:v>
      </x:c>
    </x:row>
    <x:row r="16" ht="22" customHeight="1">
      <x:c r="A16" s="10" t="n">
        <x:v>16303</x:v>
      </x:c>
      <x:c r="B16" s="5" t="str">
        <x:v>anytime_sparse</x:v>
      </x:c>
      <x:c r="C16" s="5" t="str">
        <x:v>seed</x:v>
      </x:c>
      <x:c r="D16" s="5" t="n">
        <x:v>0.12234883151218286</x:v>
      </x:c>
      <x:c r="E16" s="5" t="n">
        <x:v>0.025022158703485228</x:v>
      </x:c>
      <x:c r="F16" s="12" t="n">
        <x:v>0.3333333333333333</x:v>
      </x:c>
      <x:c r="G16" s="5" t="n">
        <x:v>26.5</x:v>
      </x:c>
      <x:c r="H16" s="10" t="n">
        <x:v>1</x:v>
      </x:c>
      <x:c r="I16" s="10" t="n">
        <x:v>6</x:v>
      </x:c>
      <x:c r="J16" s="10" t="n">
        <x:v>0</x:v>
      </x:c>
      <x:c r="K16" s="5" t="str">
        <x:v>valid</x:v>
      </x:c>
      <x:c r="L16" s="5" t="str">
        <x:v>stop</x:v>
      </x:c>
      <x:c r="M16" s="5" t="n">
        <x:v>0.1508940028289083</x:v>
      </x:c>
      <x:c r="N16" s="5" t="n">
        <x:v>0.1508940028289083</x:v>
      </x:c>
      <x:c r="O16" s="5" t="str">
        <x:v>7dad8954054020e042df5907cd3286af877ceb85978a9dc60067878c27a50453</x:v>
      </x:c>
      <x:c r="P16" s="5" t="str">
        <x:v>S012</x:v>
      </x:c>
    </x:row>
    <x:row r="17" ht="22" customHeight="1">
      <x:c r="A17" s="11" t="n">
        <x:v>16303</x:v>
      </x:c>
      <x:c r="B17" s="9" t="str">
        <x:v>anytime_rich</x:v>
      </x:c>
      <x:c r="C17" s="9" t="str">
        <x:v>seed</x:v>
      </x:c>
      <x:c r="D17" s="9" t="n">
        <x:v>0.14766682985264634</x:v>
      </x:c>
      <x:c r="E17" s="9" t="n">
        <x:v>0.027670457838440705</x:v>
      </x:c>
      <x:c r="F17" s="13" t="n">
        <x:v>0.5</x:v>
      </x:c>
      <x:c r="G17" s="9" t="n">
        <x:v>22.5</x:v>
      </x:c>
      <x:c r="H17" s="11" t="n">
        <x:v>1</x:v>
      </x:c>
      <x:c r="I17" s="11" t="n">
        <x:v>6</x:v>
      </x:c>
      <x:c r="J17" s="11" t="n">
        <x:v>0</x:v>
      </x:c>
      <x:c r="K17" s="9" t="str">
        <x:v>valid</x:v>
      </x:c>
      <x:c r="L17" s="9" t="str">
        <x:v>stop</x:v>
      </x:c>
      <x:c r="M17" s="9" t="n">
        <x:v>0.1508940028289083</x:v>
      </x:c>
      <x:c r="N17" s="9" t="n">
        <x:v>0.1508940028289083</x:v>
      </x:c>
      <x:c r="O17" s="9" t="str">
        <x:v>b3e1a6077cacfd74b172d91c99e49ec023b79e8a5c9831395b7d1c25c6e3b76a</x:v>
      </x:c>
      <x:c r="P17" s="9" t="str">
        <x:v>S012</x:v>
      </x:c>
    </x:row>
    <x:row r="18" ht="22" customHeight="1">
      <x:c r="A18" s="10" t="n">
        <x:v>16304</x:v>
      </x:c>
      <x:c r="B18" s="5" t="str">
        <x:v>legacy_code</x:v>
      </x:c>
      <x:c r="C18" s="5" t="str">
        <x:v>representative</x:v>
      </x:c>
      <x:c r="D18" s="5" t="n">
        <x:v>0.07992765156871441</x:v>
      </x:c>
      <x:c r="E18" s="5" t="n">
        <x:v>0.03167005482535016</x:v>
      </x:c>
      <x:c r="F18" s="12" t="n">
        <x:v>0.6666666666666666</x:v>
      </x:c>
      <x:c r="G18" s="5" t="n">
        <x:v>22.833333333333332</x:v>
      </x:c>
      <x:c r="H18" s="10" t="n">
        <x:v>1</x:v>
      </x:c>
      <x:c r="I18" s="10" t="n">
        <x:v>6</x:v>
      </x:c>
      <x:c r="J18" s="10" t="n">
        <x:v>0</x:v>
      </x:c>
      <x:c r="K18" s="5" t="str">
        <x:v>valid</x:v>
      </x:c>
      <x:c r="L18" s="5" t="str">
        <x:v>stop</x:v>
      </x:c>
      <x:c r="M18" s="5" t="n">
        <x:v>0.04209363266547475</x:v>
      </x:c>
      <x:c r="N18" s="5" t="n">
        <x:v>0.17621839863803462</x:v>
      </x:c>
      <x:c r="O18" s="5" t="str">
        <x:v>6b4a249d8266d65fcaccbbc31a8a4836576e06e44f3deeb6207d5102d11fc127</x:v>
      </x:c>
      <x:c r="P18" s="5" t="str">
        <x:v>S012</x:v>
      </x:c>
    </x:row>
    <x:row r="19" ht="22" customHeight="1">
      <x:c r="A19" s="11" t="n">
        <x:v>16304</x:v>
      </x:c>
      <x:c r="B19" s="9" t="str">
        <x:v>anytime_code</x:v>
      </x:c>
      <x:c r="C19" s="9" t="str">
        <x:v>representative</x:v>
      </x:c>
      <x:c r="D19" s="9" t="n">
        <x:v>0.11489041808396515</x:v>
      </x:c>
      <x:c r="E19" s="9" t="n">
        <x:v>0.06285708754109373</x:v>
      </x:c>
      <x:c r="F19" s="13" t="n">
        <x:v>0.6666666666666666</x:v>
      </x:c>
      <x:c r="G19" s="9" t="n">
        <x:v>14.666666666666666</x:v>
      </x:c>
      <x:c r="H19" s="11" t="n">
        <x:v>1</x:v>
      </x:c>
      <x:c r="I19" s="11" t="n">
        <x:v>6</x:v>
      </x:c>
      <x:c r="J19" s="11" t="n">
        <x:v>0</x:v>
      </x:c>
      <x:c r="K19" s="9" t="str">
        <x:v>valid</x:v>
      </x:c>
      <x:c r="L19" s="9" t="str">
        <x:v>stop</x:v>
      </x:c>
      <x:c r="M19" s="9" t="n">
        <x:v>0.04209363266547475</x:v>
      </x:c>
      <x:c r="N19" s="9" t="n">
        <x:v>0.17621839863803462</x:v>
      </x:c>
      <x:c r="O19" s="9" t="str">
        <x:v>0794cf699b19700f3dc9cd495e932848919c28707add954e59a470e931607c64</x:v>
      </x:c>
      <x:c r="P19" s="9" t="str">
        <x:v>S012</x:v>
      </x:c>
    </x:row>
    <x:row r="20" ht="22" customHeight="1">
      <x:c r="A20" s="10" t="n">
        <x:v>16304</x:v>
      </x:c>
      <x:c r="B20" s="5" t="str">
        <x:v>anytime_sparse</x:v>
      </x:c>
      <x:c r="C20" s="5" t="str">
        <x:v>representative</x:v>
      </x:c>
      <x:c r="D20" s="5" t="n">
        <x:v>0.023636368753797467</x:v>
      </x:c>
      <x:c r="E20" s="5" t="n">
        <x:v>0.001516197433406436</x:v>
      </x:c>
      <x:c r="F20" s="12" t="n">
        <x:v>1</x:v>
      </x:c>
      <x:c r="G20" s="5" t="n">
        <x:v>14.833333333333334</x:v>
      </x:c>
      <x:c r="H20" s="10" t="n">
        <x:v>1</x:v>
      </x:c>
      <x:c r="I20" s="10" t="n">
        <x:v>6</x:v>
      </x:c>
      <x:c r="J20" s="10" t="n">
        <x:v>0</x:v>
      </x:c>
      <x:c r="K20" s="5" t="str">
        <x:v>valid</x:v>
      </x:c>
      <x:c r="L20" s="5" t="str">
        <x:v>stop</x:v>
      </x:c>
      <x:c r="M20" s="5" t="n">
        <x:v>0.04209363266547475</x:v>
      </x:c>
      <x:c r="N20" s="5" t="n">
        <x:v>0.17621839863803462</x:v>
      </x:c>
      <x:c r="O20" s="5" t="str">
        <x:v>a7add29bc80a0dcf096fbdaf7228cd09cfd2e9b9a981db703a63e7d9621a8846</x:v>
      </x:c>
      <x:c r="P20" s="5" t="str">
        <x:v>S012</x:v>
      </x:c>
    </x:row>
    <x:row r="21" ht="22" customHeight="1">
      <x:c r="A21" s="11" t="n">
        <x:v>16304</x:v>
      </x:c>
      <x:c r="B21" s="9" t="str">
        <x:v>anytime_rich</x:v>
      </x:c>
      <x:c r="C21" s="9" t="str">
        <x:v>representative</x:v>
      </x:c>
      <x:c r="D21" s="9" t="n">
        <x:v>0.17621839863803462</x:v>
      </x:c>
      <x:c r="E21" s="9" t="n">
        <x:v>0.032409694266181774</x:v>
      </x:c>
      <x:c r="F21" s="13" t="n">
        <x:v>0.5</x:v>
      </x:c>
      <x:c r="G21" s="9" t="n">
        <x:v>19.833333333333332</x:v>
      </x:c>
      <x:c r="H21" s="11" t="n">
        <x:v>0</x:v>
      </x:c>
      <x:c r="I21" s="11" t="n">
        <x:v>0</x:v>
      </x:c>
      <x:c r="J21" s="11" t="n">
        <x:v>6</x:v>
      </x:c>
      <x:c r="K21" s="9" t="str">
        <x:v>missing_source</x:v>
      </x:c>
      <x:c r="L21" s="9" t="str">
        <x:v>error</x:v>
      </x:c>
      <x:c r="M21" s="9" t="n">
        <x:v>0.04209363266547475</x:v>
      </x:c>
      <x:c r="N21" s="9" t="n">
        <x:v>0.17621839863803462</x:v>
      </x:c>
      <x:c r="O21" s="9" t="str">
        <x:v>e3b0c44298fc1c149afbf4c8996fb92427ae41e4649b934ca495991b7852b855</x:v>
      </x:c>
      <x:c r="P21" s="9" t="str">
        <x:v>S012</x:v>
      </x:c>
    </x:row>
    <x:row r="22" ht="22" customHeight="1">
      <x:c r="A22" s="10" t="n">
        <x:v>16305</x:v>
      </x:c>
      <x:c r="B22" s="5" t="str">
        <x:v>legacy_code</x:v>
      </x:c>
      <x:c r="C22" s="5" t="str">
        <x:v>seed</x:v>
      </x:c>
      <x:c r="D22" s="5" t="n">
        <x:v>0.3332802506737469</x:v>
      </x:c>
      <x:c r="E22" s="5" t="n">
        <x:v>0.0806168158169351</x:v>
      </x:c>
      <x:c r="F22" s="12" t="n">
        <x:v>0.5</x:v>
      </x:c>
      <x:c r="G22" s="5" t="n">
        <x:v>26.666666666666668</x:v>
      </x:c>
      <x:c r="H22" s="10" t="n">
        <x:v>1</x:v>
      </x:c>
      <x:c r="I22" s="10" t="n">
        <x:v>6</x:v>
      </x:c>
      <x:c r="J22" s="10" t="n">
        <x:v>0</x:v>
      </x:c>
      <x:c r="K22" s="5" t="str">
        <x:v>valid</x:v>
      </x:c>
      <x:c r="L22" s="5" t="str">
        <x:v>stop</x:v>
      </x:c>
      <x:c r="M22" s="5" t="n">
        <x:v>0.257992147161319</x:v>
      </x:c>
      <x:c r="N22" s="5" t="n">
        <x:v>0.257992147161319</x:v>
      </x:c>
      <x:c r="O22" s="5" t="str">
        <x:v>f4e6a2ba6ce7dc0ac29d7921c3c2f909e593a4e568a79a6b26fb3dd739eb6aae</x:v>
      </x:c>
      <x:c r="P22" s="5" t="str">
        <x:v>S012</x:v>
      </x:c>
    </x:row>
    <x:row r="23" ht="22" customHeight="1">
      <x:c r="A23" s="11" t="n">
        <x:v>16305</x:v>
      </x:c>
      <x:c r="B23" s="9" t="str">
        <x:v>anytime_code</x:v>
      </x:c>
      <x:c r="C23" s="9" t="str">
        <x:v>seed</x:v>
      </x:c>
      <x:c r="D23" s="9" t="n">
        <x:v>0.127807049539169</x:v>
      </x:c>
      <x:c r="E23" s="9" t="n">
        <x:v>0.015018289953632576</x:v>
      </x:c>
      <x:c r="F23" s="13" t="n">
        <x:v>0.8333333333333334</x:v>
      </x:c>
      <x:c r="G23" s="9" t="n">
        <x:v>22.833333333333332</x:v>
      </x:c>
      <x:c r="H23" s="11" t="n">
        <x:v>1</x:v>
      </x:c>
      <x:c r="I23" s="11" t="n">
        <x:v>6</x:v>
      </x:c>
      <x:c r="J23" s="11" t="n">
        <x:v>0</x:v>
      </x:c>
      <x:c r="K23" s="9" t="str">
        <x:v>valid</x:v>
      </x:c>
      <x:c r="L23" s="9" t="str">
        <x:v>stop</x:v>
      </x:c>
      <x:c r="M23" s="9" t="n">
        <x:v>0.257992147161319</x:v>
      </x:c>
      <x:c r="N23" s="9" t="n">
        <x:v>0.257992147161319</x:v>
      </x:c>
      <x:c r="O23" s="9" t="str">
        <x:v>15c37ec78ccf17ef81798d1fdbb6c99138450a3e86fc3b7a4cc0e7e88d36bd81</x:v>
      </x:c>
      <x:c r="P23" s="9" t="str">
        <x:v>S012</x:v>
      </x:c>
    </x:row>
    <x:row r="24" ht="22" customHeight="1">
      <x:c r="A24" s="10" t="n">
        <x:v>16305</x:v>
      </x:c>
      <x:c r="B24" s="5" t="str">
        <x:v>anytime_sparse</x:v>
      </x:c>
      <x:c r="C24" s="5" t="str">
        <x:v>seed</x:v>
      </x:c>
      <x:c r="D24" s="5" t="n">
        <x:v>0.1735637997672127</x:v>
      </x:c>
      <x:c r="E24" s="5" t="n">
        <x:v>0.012788356458569537</x:v>
      </x:c>
      <x:c r="F24" s="12" t="n">
        <x:v>0.6666666666666666</x:v>
      </x:c>
      <x:c r="G24" s="5" t="n">
        <x:v>27.666666666666668</x:v>
      </x:c>
      <x:c r="H24" s="10" t="n">
        <x:v>1</x:v>
      </x:c>
      <x:c r="I24" s="10" t="n">
        <x:v>6</x:v>
      </x:c>
      <x:c r="J24" s="10" t="n">
        <x:v>0</x:v>
      </x:c>
      <x:c r="K24" s="5" t="str">
        <x:v>valid</x:v>
      </x:c>
      <x:c r="L24" s="5" t="str">
        <x:v>stop</x:v>
      </x:c>
      <x:c r="M24" s="5" t="n">
        <x:v>0.257992147161319</x:v>
      </x:c>
      <x:c r="N24" s="5" t="n">
        <x:v>0.257992147161319</x:v>
      </x:c>
      <x:c r="O24" s="5" t="str">
        <x:v>3538cf26bf5f4c6f7732e797992e94c327004c9dfd7f09a2ec2526481dd2ac64</x:v>
      </x:c>
      <x:c r="P24" s="5" t="str">
        <x:v>S012</x:v>
      </x:c>
    </x:row>
    <x:row r="25" ht="22" customHeight="1">
      <x:c r="A25" s="11" t="n">
        <x:v>16305</x:v>
      </x:c>
      <x:c r="B25" s="9" t="str">
        <x:v>anytime_rich</x:v>
      </x:c>
      <x:c r="C25" s="9" t="str">
        <x:v>seed</x:v>
      </x:c>
      <x:c r="D25" s="9" t="n">
        <x:v>0.196336597555343</x:v>
      </x:c>
      <x:c r="E25" s="9" t="n">
        <x:v>0.06020353924590363</x:v>
      </x:c>
      <x:c r="F25" s="13" t="n">
        <x:v>0.5</x:v>
      </x:c>
      <x:c r="G25" s="9" t="n">
        <x:v>26.333333333333332</x:v>
      </x:c>
      <x:c r="H25" s="11" t="n">
        <x:v>1</x:v>
      </x:c>
      <x:c r="I25" s="11" t="n">
        <x:v>6</x:v>
      </x:c>
      <x:c r="J25" s="11" t="n">
        <x:v>0</x:v>
      </x:c>
      <x:c r="K25" s="9" t="str">
        <x:v>valid</x:v>
      </x:c>
      <x:c r="L25" s="9" t="str">
        <x:v>stop</x:v>
      </x:c>
      <x:c r="M25" s="9" t="n">
        <x:v>0.257992147161319</x:v>
      </x:c>
      <x:c r="N25" s="9" t="n">
        <x:v>0.257992147161319</x:v>
      </x:c>
      <x:c r="O25" s="9" t="str">
        <x:v>128cd759a778ae4b16c081b70df5254b602a92012ceaf821c14fec77b5fe7817</x:v>
      </x:c>
      <x:c r="P25" s="9" t="str">
        <x:v>S012</x:v>
      </x:c>
    </x:row>
    <x:row r="26" ht="22" customHeight="1">
      <x:c r="A26" s="10" t="n">
        <x:v>16306</x:v>
      </x:c>
      <x:c r="B26" s="5" t="str">
        <x:v>legacy_code</x:v>
      </x:c>
      <x:c r="C26" s="5" t="str">
        <x:v>representative</x:v>
      </x:c>
      <x:c r="D26" s="5" t="n">
        <x:v>0.04625768103306204</x:v>
      </x:c>
      <x:c r="E26" s="5" t="n">
        <x:v>0.00013569827958935112</x:v>
      </x:c>
      <x:c r="F26" s="12" t="n">
        <x:v>1</x:v>
      </x:c>
      <x:c r="G26" s="5" t="n">
        <x:v>11.166666666666666</x:v>
      </x:c>
      <x:c r="H26" s="10" t="n">
        <x:v>1</x:v>
      </x:c>
      <x:c r="I26" s="10" t="n">
        <x:v>6</x:v>
      </x:c>
      <x:c r="J26" s="10" t="n">
        <x:v>0</x:v>
      </x:c>
      <x:c r="K26" s="5" t="str">
        <x:v>valid</x:v>
      </x:c>
      <x:c r="L26" s="5" t="str">
        <x:v>stop</x:v>
      </x:c>
      <x:c r="M26" s="5" t="n">
        <x:v>0.04636191903316169</x:v>
      </x:c>
      <x:c r="N26" s="5" t="n">
        <x:v>0.13388096159977436</x:v>
      </x:c>
      <x:c r="O26" s="5" t="str">
        <x:v>3294a49af260c4d864eac42b0de9410904daac2cbb9de4d4b299fca4e19d147b</x:v>
      </x:c>
      <x:c r="P26" s="5" t="str">
        <x:v>S012</x:v>
      </x:c>
    </x:row>
    <x:row r="27" ht="22" customHeight="1">
      <x:c r="A27" s="11" t="n">
        <x:v>16306</x:v>
      </x:c>
      <x:c r="B27" s="9" t="str">
        <x:v>anytime_code</x:v>
      </x:c>
      <x:c r="C27" s="9" t="str">
        <x:v>representative</x:v>
      </x:c>
      <x:c r="D27" s="9" t="n">
        <x:v>0.07383935446780895</x:v>
      </x:c>
      <x:c r="E27" s="9" t="n">
        <x:v>0.03344711151912544</x:v>
      </x:c>
      <x:c r="F27" s="13" t="n">
        <x:v>0.5</x:v>
      </x:c>
      <x:c r="G27" s="9" t="n">
        <x:v>20.666666666666668</x:v>
      </x:c>
      <x:c r="H27" s="11" t="n">
        <x:v>1</x:v>
      </x:c>
      <x:c r="I27" s="11" t="n">
        <x:v>6</x:v>
      </x:c>
      <x:c r="J27" s="11" t="n">
        <x:v>0</x:v>
      </x:c>
      <x:c r="K27" s="9" t="str">
        <x:v>valid</x:v>
      </x:c>
      <x:c r="L27" s="9" t="str">
        <x:v>stop</x:v>
      </x:c>
      <x:c r="M27" s="9" t="n">
        <x:v>0.04636191903316169</x:v>
      </x:c>
      <x:c r="N27" s="9" t="n">
        <x:v>0.13388096159977436</x:v>
      </x:c>
      <x:c r="O27" s="9" t="str">
        <x:v>6817cdf8e4cfd28a4eee1cb9b56d6019bb6b02fdc87466f14f6edfa65e7c5343</x:v>
      </x:c>
      <x:c r="P27" s="9" t="str">
        <x:v>S012</x:v>
      </x:c>
    </x:row>
    <x:row r="28" ht="22" customHeight="1">
      <x:c r="A28" s="10" t="n">
        <x:v>16306</x:v>
      </x:c>
      <x:c r="B28" s="5" t="str">
        <x:v>anytime_sparse</x:v>
      </x:c>
      <x:c r="C28" s="5" t="str">
        <x:v>representative</x:v>
      </x:c>
      <x:c r="D28" s="5" t="n">
        <x:v>0.06646149882893737</x:v>
      </x:c>
      <x:c r="E28" s="5" t="n">
        <x:v>0.06646149882893737</x:v>
      </x:c>
      <x:c r="F28" s="12" t="n">
        <x:v>0.16666666666666666</x:v>
      </x:c>
      <x:c r="G28" s="5" t="n">
        <x:v>27.666666666666668</x:v>
      </x:c>
      <x:c r="H28" s="10" t="n">
        <x:v>1</x:v>
      </x:c>
      <x:c r="I28" s="10" t="n">
        <x:v>6</x:v>
      </x:c>
      <x:c r="J28" s="10" t="n">
        <x:v>0</x:v>
      </x:c>
      <x:c r="K28" s="5" t="str">
        <x:v>valid</x:v>
      </x:c>
      <x:c r="L28" s="5" t="str">
        <x:v>stop</x:v>
      </x:c>
      <x:c r="M28" s="5" t="n">
        <x:v>0.04636191903316169</x:v>
      </x:c>
      <x:c r="N28" s="5" t="n">
        <x:v>0.13388096159977436</x:v>
      </x:c>
      <x:c r="O28" s="5" t="str">
        <x:v>792993f4a3e1079eb96ddb5d8e8f03fde0c81bf0c84e8088930ab41c00d03ea0</x:v>
      </x:c>
      <x:c r="P28" s="5" t="str">
        <x:v>S012</x:v>
      </x:c>
    </x:row>
    <x:row r="29" ht="22" customHeight="1">
      <x:c r="A29" s="11" t="n">
        <x:v>16306</x:v>
      </x:c>
      <x:c r="B29" s="9" t="str">
        <x:v>anytime_rich</x:v>
      </x:c>
      <x:c r="C29" s="9" t="str">
        <x:v>representative</x:v>
      </x:c>
      <x:c r="D29" s="9" t="n">
        <x:v>0.05546434170358731</x:v>
      </x:c>
      <x:c r="E29" s="9" t="n">
        <x:v>0.016645476412565384</x:v>
      </x:c>
      <x:c r="F29" s="13" t="n">
        <x:v>0.6666666666666666</x:v>
      </x:c>
      <x:c r="G29" s="9" t="n">
        <x:v>16.333333333333332</x:v>
      </x:c>
      <x:c r="H29" s="11" t="n">
        <x:v>1</x:v>
      </x:c>
      <x:c r="I29" s="11" t="n">
        <x:v>6</x:v>
      </x:c>
      <x:c r="J29" s="11" t="n">
        <x:v>0</x:v>
      </x:c>
      <x:c r="K29" s="9" t="str">
        <x:v>valid</x:v>
      </x:c>
      <x:c r="L29" s="9" t="str">
        <x:v>stop</x:v>
      </x:c>
      <x:c r="M29" s="9" t="n">
        <x:v>0.04636191903316169</x:v>
      </x:c>
      <x:c r="N29" s="9" t="n">
        <x:v>0.13388096159977436</x:v>
      </x:c>
      <x:c r="O29" s="9" t="str">
        <x:v>4040e56c1ac63a5eab58ba885736a1aeec16b3e37b7e5dcefc3453165206b067</x:v>
      </x:c>
      <x:c r="P29" s="9" t="str">
        <x:v>S012</x:v>
      </x:c>
    </x:row>
    <x:row r="34" ht="44" customHeight="1">
      <x:c r="A34" s="8" t="str">
        <x:v>Condition</x:v>
      </x:c>
      <x:c r="B34" s="8" t="str">
        <x:v>AUC moyenne</x:v>
      </x:c>
      <x:c r="C34" s="8" t="str">
        <x:v>AUC médiane</x:v>
      </x:c>
      <x:c r="D34" s="8" t="str">
        <x:v>Regret final moyen</x:v>
      </x:c>
      <x:c r="E34" s="8" t="str">
        <x:v>Cible atteinte</x:v>
      </x:c>
      <x:c r="F34" s="8" t="str">
        <x:v>Temps cible censuré</x:v>
      </x:c>
      <x:c r="G34" s="8" t="str">
        <x:v>Éligibles train</x:v>
      </x:c>
      <x:c r="H34" s="8" t="str">
        <x:v>Replis validation</x:v>
      </x:c>
      <x:c r="I34" s="8" t="str">
        <x:v>Source</x:v>
      </x:c>
    </x:row>
    <x:row r="35" ht="22" customHeight="1">
      <x:c r="A35" s="5" t="str">
        <x:v>legacy_code</x:v>
      </x:c>
      <x:c r="B35" s="5" t="n">
        <x:f>AVERAGEIF(B6:B29,A35,D6:D29)</x:f>
        <x:v>0.1641113529355208</x:v>
      </x:c>
      <x:c r="C35" s="5" t="n">
        <x:f>MEDIAN(D6,D10,D14,D18,D22,D26)</x:f>
        <x:v>0.10504685337101383</x:v>
      </x:c>
      <x:c r="D35" s="5" t="n">
        <x:f>AVERAGEIF(B6:B29,A35,E6:E29)</x:f>
        <x:v>0.06364816792553651</x:v>
      </x:c>
      <x:c r="E35" s="12" t="n">
        <x:f>AVERAGEIF(B6:B29,A35,F6:F29)</x:f>
        <x:v>0.611111111111111</x:v>
      </x:c>
      <x:c r="F35" s="5" t="n">
        <x:f>AVERAGEIF(B6:B29,A35,G6:G29)</x:f>
        <x:v>22.5</x:v>
      </x:c>
      <x:c r="G35" s="10" t="n">
        <x:f>COUNTIFS(B6:B29,A35,H6:H29,1)</x:f>
        <x:v>6</x:v>
      </x:c>
      <x:c r="H35" s="10" t="n">
        <x:f>SUMIF(B6:B29,A35,J6:J29)</x:f>
        <x:v>0</x:v>
      </x:c>
      <x:c r="I35" s="5" t="str">
        <x:v>S012</x:v>
      </x:c>
    </x:row>
    <x:row r="36" ht="22" customHeight="1">
      <x:c r="A36" s="9" t="str">
        <x:v>anytime_code</x:v>
      </x:c>
      <x:c r="B36" s="9" t="n">
        <x:f>AVERAGEIF(B6:B29,A36,D6:D29)</x:f>
        <x:v>0.12213046391732156</x:v>
      </x:c>
      <x:c r="C36" s="9" t="n">
        <x:f>MEDIAN(D7,D11,D15,D19,D23,D27)</x:f>
        <x:v>0.12134873381156708</x:v>
      </x:c>
      <x:c r="D36" s="9" t="n">
        <x:f>AVERAGEIF(B6:B29,A36,E6:E29)</x:f>
        <x:v>0.032738529365797464</x:v>
      </x:c>
      <x:c r="E36" s="13" t="n">
        <x:f>AVERAGEIF(B6:B29,A36,F6:F29)</x:f>
        <x:v>0.638888888888889</x:v>
      </x:c>
      <x:c r="F36" s="9" t="n">
        <x:f>AVERAGEIF(B6:B29,A36,G6:G29)</x:f>
        <x:v>20.25</x:v>
      </x:c>
      <x:c r="G36" s="11" t="n">
        <x:f>COUNTIFS(B6:B29,A36,H6:H29,1)</x:f>
        <x:v>4</x:v>
      </x:c>
      <x:c r="H36" s="11" t="n">
        <x:f>SUMIF(B6:B29,A36,J6:J29)</x:f>
        <x:v>12</x:v>
      </x:c>
      <x:c r="I36" s="9" t="str">
        <x:v>S012</x:v>
      </x:c>
    </x:row>
    <x:row r="37" ht="22" customHeight="1">
      <x:c r="A37" s="5" t="str">
        <x:v>anytime_sparse</x:v>
      </x:c>
      <x:c r="B37" s="5" t="n">
        <x:f>AVERAGEIF(B6:B29,A37,D6:D29)</x:f>
        <x:v>0.08500227694817149</x:v>
      </x:c>
      <x:c r="C37" s="5" t="n">
        <x:f>MEDIAN(D8,D12,D16,D20,D24,D28)</x:f>
        <x:v>0.08883003412556763</x:v>
      </x:c>
      <x:c r="D37" s="5" t="n">
        <x:f>AVERAGEIF(B6:B29,A37,E6:E29)</x:f>
        <x:v>0.019428830604144364</x:v>
      </x:c>
      <x:c r="E37" s="12" t="n">
        <x:f>AVERAGEIF(B6:B29,A37,F6:F29)</x:f>
        <x:v>0.6388888888888888</x:v>
      </x:c>
      <x:c r="F37" s="5" t="n">
        <x:f>AVERAGEIF(B6:B29,A37,G6:G29)</x:f>
        <x:v>21.222222222222225</x:v>
      </x:c>
      <x:c r="G37" s="10" t="n">
        <x:f>COUNTIFS(B6:B29,A37,H6:H29,1)</x:f>
        <x:v>6</x:v>
      </x:c>
      <x:c r="H37" s="10" t="n">
        <x:f>SUMIF(B6:B29,A37,J6:J29)</x:f>
        <x:v>0</x:v>
      </x:c>
      <x:c r="I37" s="5" t="str">
        <x:v>S012</x:v>
      </x:c>
    </x:row>
    <x:row r="38" ht="22" customHeight="1">
      <x:c r="A38" s="9" t="str">
        <x:v>anytime_rich</x:v>
      </x:c>
      <x:c r="B38" s="9" t="n">
        <x:f>AVERAGEIF(B6:B29,A38,D6:D29)</x:f>
        <x:v>0.13423088262322788</x:v>
      </x:c>
      <x:c r="C38" s="9" t="n">
        <x:f>MEDIAN(D9,D13,D17,D21,D25,D29)</x:f>
        <x:v>0.1401458616892223</x:v>
      </x:c>
      <x:c r="D38" s="9" t="n">
        <x:f>AVERAGEIF(B6:B29,A38,E6:E29)</x:f>
        <x:v>0.03139481892488173</x:v>
      </x:c>
      <x:c r="E38" s="13" t="n">
        <x:f>AVERAGEIF(B6:B29,A38,F6:F29)</x:f>
        <x:v>0.5833333333333333</x:v>
      </x:c>
      <x:c r="F38" s="9" t="n">
        <x:f>AVERAGEIF(B6:B29,A38,G6:G29)</x:f>
        <x:v>19.72222222222222</x:v>
      </x:c>
      <x:c r="G38" s="11" t="n">
        <x:f>COUNTIFS(B6:B29,A38,H6:H29,1)</x:f>
        <x:v>4</x:v>
      </x:c>
      <x:c r="H38" s="11" t="n">
        <x:f>SUMIF(B6:B29,A38,J6:J29)</x:f>
        <x:v>12</x:v>
      </x:c>
      <x:c r="I38" s="9" t="str">
        <x:v>S012</x:v>
      </x:c>
    </x:row>
  </x:sheetData>
  <x:pageMargins left="0.7" right="0.7" top="0.75" bottom="0.75" header="0.3" footer="0.3"/>
  <x:tableParts count="2">
    <x:tablePart xmlns:r="http://schemas.openxmlformats.org/officeDocument/2006/relationships" r:id="R8e336832eef345f9"/>
    <x:tablePart xmlns:r="http://schemas.openxmlformats.org/officeDocument/2006/relationships" r:id="Re8e087efbb6549e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24" hidden="0" customWidth="1"/>
    <x:col min="13" max="13" width="15" hidden="0" customWidth="1"/>
  </x:cols>
  <x:sheetData>
    <x:row r="1" ht="29" customHeight="1">
      <x:c r="A1" s="1" t="str">
        <x:v>F1 : contrastes appariés enregistrés</x:v>
      </x:c>
    </x:row>
    <x:row r="2" ht="21" customHeight="1">
      <x:c r="A2" s="2" t="str">
        <x:v>Bootstrap importé : 10 000 tirages, RNG 1515, six blocs. Quatre contrastes exploratoires.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IC fragiles et conditionnels aux deux parents et au panel fixé. Delta négatif : première condition meilleure.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Contraste</x:v>
      </x:c>
      <x:c r="B5" s="22" t="str">
        <x:v>16301</x:v>
      </x:c>
      <x:c r="C5" s="22" t="str">
        <x:v>16302</x:v>
      </x:c>
      <x:c r="D5" s="22" t="str">
        <x:v>16303</x:v>
      </x:c>
      <x:c r="E5" s="22" t="str">
        <x:v>16304</x:v>
      </x:c>
      <x:c r="F5" s="22" t="str">
        <x:v>16305</x:v>
      </x:c>
      <x:c r="G5" s="22" t="str">
        <x:v>16306</x:v>
      </x:c>
      <x:c r="H5" s="8" t="str">
        <x:v>Moyenne ΔAUC</x:v>
      </x:c>
      <x:c r="I5" s="8" t="str">
        <x:v>Médiane ΔAUC</x:v>
      </x:c>
      <x:c r="J5" s="8" t="str">
        <x:v>IC 95 % bas</x:v>
      </x:c>
      <x:c r="K5" s="8" t="str">
        <x:v>IC 95 % haut</x:v>
      </x:c>
      <x:c r="L5" s="8" t="str">
        <x:v>Lecture enregistrée</x:v>
      </x:c>
      <x:c r="M5" s="8" t="str">
        <x:v>Source</x:v>
      </x:c>
    </x:row>
    <x:row r="6" ht="22" customHeight="1">
      <x:c r="A6" s="5" t="str">
        <x:v>anytime_code-legacy_code</x:v>
      </x:c>
      <x:c r="B6" s="5" t="n">
        <x:f>'F1'!D7-'F1'!D6</x:f>
        <x:v>-0.2525929785635105</x:v>
      </x:c>
      <x:c r="C6" s="5" t="n">
        <x:f>'F1'!D11-'F1'!D10</x:f>
        <x:v>0.10639937513293302</x:v>
      </x:c>
      <x:c r="D6" s="5" t="n">
        <x:f>'F1'!D15-'F1'!D14</x:f>
        <x:v>0.03723703050596233</x:v>
      </x:c>
      <x:c r="E6" s="5" t="n">
        <x:f>'F1'!D19-'F1'!D18</x:f>
        <x:v>0.03496276651525074</x:v>
      </x:c>
      <x:c r="F6" s="5" t="n">
        <x:f>'F1'!D23-'F1'!D22</x:f>
        <x:v>-0.2054732011345779</x:v>
      </x:c>
      <x:c r="G6" s="5" t="n">
        <x:f>'F1'!D27-'F1'!D26</x:f>
        <x:v>0.027581673434746913</x:v>
      </x:c>
      <x:c r="H6" s="5" t="n">
        <x:f>AVERAGE(B6:G6)</x:f>
        <x:v>-0.04198088901819922</x:v>
      </x:c>
      <x:c r="I6" s="5" t="n">
        <x:f>MEDIAN(B6:G6)</x:f>
        <x:v>0.03127221997499882</x:v>
      </x:c>
      <x:c r="J6" s="5" t="n">
        <x:v>-0.14973890548073335</x:v>
      </x:c>
      <x:c r="K6" s="5" t="n">
        <x:v>0.05792383120617946</x:v>
      </x:c>
      <x:c r="L6" s="5" t="str">
        <x:v>inconclusive</x:v>
      </x:c>
      <x:c r="M6" s="5" t="str">
        <x:v>S012</x:v>
      </x:c>
    </x:row>
    <x:row r="7" ht="22" customHeight="1">
      <x:c r="A7" s="9" t="str">
        <x:v>anytime_sparse-anytime_code</x:v>
      </x:c>
      <x:c r="B7" s="9" t="n">
        <x:f>'F1'!D8-'F1'!D7</x:f>
        <x:v>0.014124334958240128</x:v>
      </x:c>
      <x:c r="C7" s="9" t="n">
        <x:f>'F1'!D12-'F1'!D11</x:f>
        <x:v>-0.13896404786505226</x:v>
      </x:c>
      <x:c r="D7" s="9" t="n">
        <x:f>'F1'!D16-'F1'!D15</x:f>
        <x:v>-0.0450542541670927</x:v>
      </x:c>
      <x:c r="E7" s="9" t="n">
        <x:f>'F1'!D20-'F1'!D19</x:f>
        <x:v>-0.09125404933016767</x:v>
      </x:c>
      <x:c r="F7" s="9" t="n">
        <x:f>'F1'!D24-'F1'!D23</x:f>
        <x:v>0.04575675022804371</x:v>
      </x:c>
      <x:c r="G7" s="9" t="n">
        <x:f>'F1'!D28-'F1'!D27</x:f>
        <x:v>-0.007377855638871583</x:v>
      </x:c>
      <x:c r="H7" s="9" t="n">
        <x:f>AVERAGE(B7:G7)</x:f>
        <x:v>-0.03712818696915006</x:v>
      </x:c>
      <x:c r="I7" s="9" t="n">
        <x:f>MEDIAN(B7:G7)</x:f>
        <x:v>-0.026216054902982143</x:v>
      </x:c>
      <x:c r="J7" s="9" t="n">
        <x:v>-0.0898460186890295</x:v>
      </x:c>
      <x:c r="K7" s="9" t="n">
        <x:v>0.011221676761100564</x:v>
      </x:c>
      <x:c r="L7" s="9" t="str">
        <x:v>inconclusive</x:v>
      </x:c>
      <x:c r="M7" s="9" t="str">
        <x:v>S012</x:v>
      </x:c>
    </x:row>
    <x:row r="8" ht="22" customHeight="1">
      <x:c r="A8" s="5" t="str">
        <x:v>anytime_rich-anytime_sparse</x:v>
      </x:c>
      <x:c r="B8" s="5" t="n">
        <x:f>'F1'!D9-'F1'!D8</x:f>
        <x:v>-0.014124334958240128</x:v>
      </x:c>
      <x:c r="C8" s="5" t="n">
        <x:f>'F1'!D13-'F1'!D12</x:f>
        <x:v>0.11982030012109765</x:v>
      </x:c>
      <x:c r="D8" s="5" t="n">
        <x:f>'F1'!D17-'F1'!D16</x:f>
        <x:v>0.025317998340463485</x:v>
      </x:c>
      <x:c r="E8" s="5" t="n">
        <x:f>'F1'!D21-'F1'!D20</x:f>
        <x:v>0.15258202988423716</x:v>
      </x:c>
      <x:c r="F8" s="5" t="n">
        <x:f>'F1'!D25-'F1'!D24</x:f>
        <x:v>0.022772797788130295</x:v>
      </x:c>
      <x:c r="G8" s="5" t="n">
        <x:f>'F1'!D29-'F1'!D28</x:f>
        <x:v>-0.010997157125350064</x:v>
      </x:c>
      <x:c r="H8" s="5" t="n">
        <x:f>AVERAGE(B8:G8)</x:f>
        <x:v>0.0492286056750564</x:v>
      </x:c>
      <x:c r="I8" s="5" t="n">
        <x:f>MEDIAN(B8:G8)</x:f>
        <x:v>0.02404539806429689</x:v>
      </x:c>
      <x:c r="J8" s="5" t="n">
        <x:v>0.00016007339371492226</x:v>
      </x:c>
      <x:c r="K8" s="5" t="n">
        <x:v>0.103586963819862</x:v>
      </x:c>
      <x:c r="L8" s="5" t="str">
        <x:v>negative signal</x:v>
      </x:c>
      <x:c r="M8" s="5" t="str">
        <x:v>S012</x:v>
      </x:c>
    </x:row>
    <x:row r="9" ht="22" customHeight="1">
      <x:c r="A9" s="9" t="str">
        <x:v>anytime_rich-anytime_code</x:v>
      </x:c>
      <x:c r="B9" s="9" t="n">
        <x:f>'F1'!D9-'F1'!D7</x:f>
        <x:v>0</x:v>
      </x:c>
      <x:c r="C9" s="9" t="n">
        <x:f>'F1'!D13-'F1'!D11</x:f>
        <x:v>-0.01914374774395461</x:v>
      </x:c>
      <x:c r="D9" s="9" t="n">
        <x:f>'F1'!D17-'F1'!D15</x:f>
        <x:v>-0.019736255826629218</x:v>
      </x:c>
      <x:c r="E9" s="9" t="n">
        <x:f>'F1'!D21-'F1'!D19</x:f>
        <x:v>0.061327980554069475</x:v>
      </x:c>
      <x:c r="F9" s="9" t="n">
        <x:f>'F1'!D25-'F1'!D23</x:f>
        <x:v>0.068529548016174</x:v>
      </x:c>
      <x:c r="G9" s="9" t="n">
        <x:f>'F1'!D29-'F1'!D27</x:f>
        <x:v>-0.018375012764221647</x:v>
      </x:c>
      <x:c r="H9" s="9" t="n">
        <x:f>AVERAGE(B9:G9)</x:f>
        <x:v>0.012100418705906335</x:v>
      </x:c>
      <x:c r="I9" s="9" t="n">
        <x:f>MEDIAN(B9:G9)</x:f>
        <x:v>-0.009187506382110824</x:v>
      </x:c>
      <x:c r="J9" s="9" t="n">
        <x:v>-0.015993132168055157</x:v>
      </x:c>
      <x:c r="K9" s="9" t="n">
        <x:v>0.041423601973061636</x:v>
      </x:c>
      <x:c r="L9" s="9" t="str">
        <x:v>inconclusive</x:v>
      </x:c>
      <x:c r="M9" s="9" t="str">
        <x:v>S012</x:v>
      </x:c>
    </x:row>
  </x:sheetData>
  <x:pageMargins left="0.7" right="0.7" top="0.75" bottom="0.75" header="0.3" footer="0.3"/>
  <x:tableParts count="1">
    <x:tablePart xmlns:r="http://schemas.openxmlformats.org/officeDocument/2006/relationships" r:id="R39dff0f23d0c4750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26" hidden="0" customWidth="1"/>
    <x:col min="6" max="6" width="28" hidden="0" customWidth="1"/>
    <x:col min="7" max="7" width="15" hidden="0" customWidth="1"/>
    <x:col min="8" max="8" width="25" hidden="0" customWidth="1"/>
    <x:col min="9" max="9" width="15" hidden="0" customWidth="1"/>
    <x:col min="10" max="10" width="24" hidden="0" customWidth="1"/>
    <x:col min="11" max="11" width="15" hidden="0" customWidth="1"/>
    <x:col min="12" max="12" width="33" hidden="0" customWidth="1"/>
    <x:col min="13" max="13" width="15" hidden="0" customWidth="1"/>
    <x:col min="14" max="14" width="24" hidden="0" customWidth="1"/>
    <x:col min="15" max="15" width="26" hidden="0" customWidth="1"/>
    <x:col min="16" max="16" width="29" hidden="0" customWidth="1"/>
    <x:col min="17" max="17" width="15" hidden="0" customWidth="1"/>
    <x:col min="18" max="18" width="46" hidden="0" customWidth="1"/>
    <x:col min="19" max="19" width="15" hidden="0" customWidth="1"/>
  </x:cols>
  <x:sheetData>
    <x:row r="1" ht="29" customHeight="1">
      <x:c r="A1" s="1" t="str">
        <x:v>F1 : usage et invalidité de génération</x:v>
      </x:c>
    </x:row>
    <x:row r="2" ht="21" customHeight="1">
      <x:c r="A2" s="2" t="str">
        <x:v>Tous les 24 slots et les 26 tentatives. Raisonnement conservé, jamais ajouté au total.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Coûts des réponses connues. Deux tentatives transport ont une facturation distante potentielle inconnue.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Bloc</x:v>
      </x:c>
      <x:c r="B5" s="8" t="str">
        <x:v>Condition</x:v>
      </x:c>
      <x:c r="C5" s="8" t="str">
        <x:v>Statut source</x:v>
      </x:c>
      <x:c r="D5" s="8" t="str">
        <x:v>Fin</x:v>
      </x:c>
      <x:c r="E5" s="8" t="str">
        <x:v>Tokens prompt</x:v>
      </x:c>
      <x:c r="F5" s="8" t="str">
        <x:v>Tokens complétion</x:v>
      </x:c>
      <x:c r="G5" s="8" t="str">
        <x:v>Tokens raisonnement</x:v>
      </x:c>
      <x:c r="H5" s="8" t="str">
        <x:v>Tokens totaux</x:v>
      </x:c>
      <x:c r="I5" s="8" t="str">
        <x:v>Coût réponse USD</x:v>
      </x:c>
      <x:c r="J5" s="8" t="str">
        <x:v>Coût reçu USD</x:v>
      </x:c>
      <x:c r="K5" s="8" t="str">
        <x:v>Tentatives</x:v>
      </x:c>
      <x:c r="L5" s="8" t="str">
        <x:v>Complétion distante inconnue</x:v>
      </x:c>
      <x:c r="M5" s="8" t="str">
        <x:v>Durée réponse s</x:v>
      </x:c>
      <x:c r="N5" s="8" t="str">
        <x:v>Fournisseur</x:v>
      </x:c>
      <x:c r="O5" s="8" t="str">
        <x:v>Objectifs effectifs</x:v>
      </x:c>
      <x:c r="P5" s="8" t="str">
        <x:v>Allocations inutilisées</x:v>
      </x:c>
      <x:c r="Q5" s="8" t="str">
        <x:v>Sous-processus</x:v>
      </x:c>
      <x:c r="R5" s="8" t="str">
        <x:v>Anomalies compteurs</x:v>
      </x:c>
      <x:c r="S5" s="8" t="str">
        <x:v>Source</x:v>
      </x:c>
    </x:row>
    <x:row r="6" ht="22" customHeight="1">
      <x:c r="A6" s="10" t="n">
        <x:v>16301</x:v>
      </x:c>
      <x:c r="B6" s="5" t="str">
        <x:v>legacy_code</x:v>
      </x:c>
      <x:c r="C6" s="5" t="str">
        <x:v>valid</x:v>
      </x:c>
      <x:c r="D6" s="5" t="str">
        <x:v>stop</x:v>
      </x:c>
      <x:c r="E6" s="14" t="n">
        <x:v>684</x:v>
      </x:c>
      <x:c r="F6" s="14" t="n">
        <x:v>4546</x:v>
      </x:c>
      <x:c r="G6" s="14" t="n">
        <x:v>3184</x:v>
      </x:c>
      <x:c r="H6" s="14" t="n">
        <x:v>5230</x:v>
      </x:c>
      <x:c r="I6" s="16" t="n">
        <x:v>0.00076156</x:v>
      </x:c>
      <x:c r="J6" s="16" t="n">
        <x:v>0.00076156</x:v>
      </x:c>
      <x:c r="K6" s="10" t="n">
        <x:v>1</x:v>
      </x:c>
      <x:c r="L6" s="10" t="n">
        <x:v>0</x:v>
      </x:c>
      <x:c r="M6" s="20" t="n">
        <x:v>170.45310971399886</x:v>
      </x:c>
      <x:c r="N6" s="5" t="str">
        <x:v>OpenInference</x:v>
      </x:c>
      <x:c r="O6" s="14" t="n">
        <x:v>384</x:v>
      </x:c>
      <x:c r="P6" s="14" t="n">
        <x:v>0</x:v>
      </x:c>
      <x:c r="Q6" s="14" t="n">
        <x:v>768</x:v>
      </x:c>
      <x:c r="R6" s="5" t="str"/>
      <x:c r="S6" s="5" t="str">
        <x:v>S012</x:v>
      </x:c>
    </x:row>
    <x:row r="7" ht="22" customHeight="1">
      <x:c r="A7" s="11" t="n">
        <x:v>16301</x:v>
      </x:c>
      <x:c r="B7" s="9" t="str">
        <x:v>anytime_code</x:v>
      </x:c>
      <x:c r="C7" s="9" t="str">
        <x:v>missing_source</x:v>
      </x:c>
      <x:c r="D7" s="9" t="str">
        <x:v>stop</x:v>
      </x:c>
      <x:c r="E7" s="15" t="n">
        <x:v>760</x:v>
      </x:c>
      <x:c r="F7" s="15" t="n">
        <x:v>26594</x:v>
      </x:c>
      <x:c r="G7" s="15" t="n">
        <x:v>18496</x:v>
      </x:c>
      <x:c r="H7" s="15" t="n">
        <x:v>27354</x:v>
      </x:c>
      <x:c r="I7" s="17" t="n">
        <x:v>0.00676248496</x:v>
      </x:c>
      <x:c r="J7" s="17" t="n">
        <x:v>0.006762484</x:v>
      </x:c>
      <x:c r="K7" s="11" t="n">
        <x:v>1</x:v>
      </x:c>
      <x:c r="L7" s="11" t="n">
        <x:v>0</x:v>
      </x:c>
      <x:c r="M7" s="21" t="n">
        <x:v>538.3247063979943</x:v>
      </x:c>
      <x:c r="N7" s="9" t="str">
        <x:v>DigitalOcean</x:v>
      </x:c>
      <x:c r="O7" s="15" t="n">
        <x:v>192</x:v>
      </x:c>
      <x:c r="P7" s="15" t="n">
        <x:v>192</x:v>
      </x:c>
      <x:c r="Q7" s="15" t="n">
        <x:v>384</x:v>
      </x:c>
      <x:c r="R7" s="9" t="str"/>
      <x:c r="S7" s="9" t="str">
        <x:v>S012</x:v>
      </x:c>
    </x:row>
    <x:row r="8" ht="22" customHeight="1">
      <x:c r="A8" s="10" t="n">
        <x:v>16301</x:v>
      </x:c>
      <x:c r="B8" s="5" t="str">
        <x:v>anytime_sparse</x:v>
      </x:c>
      <x:c r="C8" s="5" t="str">
        <x:v>valid</x:v>
      </x:c>
      <x:c r="D8" s="5" t="str">
        <x:v>stop</x:v>
      </x:c>
      <x:c r="E8" s="14" t="n">
        <x:v>1868</x:v>
      </x:c>
      <x:c r="F8" s="14" t="n">
        <x:v>6133</x:v>
      </x:c>
      <x:c r="G8" s="14" t="n">
        <x:v>5607</x:v>
      </x:c>
      <x:c r="H8" s="14" t="n">
        <x:v>8001</x:v>
      </x:c>
      <x:c r="I8" s="16" t="n">
        <x:v>0.00122536</x:v>
      </x:c>
      <x:c r="J8" s="16" t="n">
        <x:v>0.00122536</x:v>
      </x:c>
      <x:c r="K8" s="10" t="n">
        <x:v>1</x:v>
      </x:c>
      <x:c r="L8" s="10" t="n">
        <x:v>0</x:v>
      </x:c>
      <x:c r="M8" s="20" t="n">
        <x:v>155.79336659000546</x:v>
      </x:c>
      <x:c r="N8" s="5" t="str">
        <x:v>Sail Research</x:v>
      </x:c>
      <x:c r="O8" s="14" t="n">
        <x:v>384</x:v>
      </x:c>
      <x:c r="P8" s="14" t="n">
        <x:v>0</x:v>
      </x:c>
      <x:c r="Q8" s="14" t="n">
        <x:v>768</x:v>
      </x:c>
      <x:c r="R8" s="5" t="str"/>
      <x:c r="S8" s="5" t="str">
        <x:v>S012</x:v>
      </x:c>
    </x:row>
    <x:row r="9" ht="22" customHeight="1">
      <x:c r="A9" s="11" t="n">
        <x:v>16301</x:v>
      </x:c>
      <x:c r="B9" s="9" t="str">
        <x:v>anytime_rich</x:v>
      </x:c>
      <x:c r="C9" s="9" t="str">
        <x:v>missing_source</x:v>
      </x:c>
      <x:c r="D9" s="9" t="str">
        <x:v>length</x:v>
      </x:c>
      <x:c r="E9" s="15" t="n">
        <x:v>6494</x:v>
      </x:c>
      <x:c r="F9" s="15" t="n">
        <x:v>32000</x:v>
      </x:c>
      <x:c r="G9" s="15" t="n">
        <x:v>33818</x:v>
      </x:c>
      <x:c r="H9" s="15" t="n">
        <x:v>38494</x:v>
      </x:c>
      <x:c r="I9" s="17" t="n">
        <x:v>0.00614964</x:v>
      </x:c>
      <x:c r="J9" s="17" t="n">
        <x:v>0.00614964</x:v>
      </x:c>
      <x:c r="K9" s="11" t="n">
        <x:v>1</x:v>
      </x:c>
      <x:c r="L9" s="11" t="n">
        <x:v>0</x:v>
      </x:c>
      <x:c r="M9" s="21" t="n">
        <x:v>459.4701874579987</x:v>
      </x:c>
      <x:c r="N9" s="9" t="str">
        <x:v>DeepInfra</x:v>
      </x:c>
      <x:c r="O9" s="15" t="n">
        <x:v>192</x:v>
      </x:c>
      <x:c r="P9" s="15" t="n">
        <x:v>192</x:v>
      </x:c>
      <x:c r="Q9" s="15" t="n">
        <x:v>384</x:v>
      </x:c>
      <x:c r="R9" s="9" t="str">
        <x:v>reasoning_exceeds_completion</x:v>
      </x:c>
      <x:c r="S9" s="9" t="str">
        <x:v>S012</x:v>
      </x:c>
    </x:row>
    <x:row r="10" ht="22" customHeight="1">
      <x:c r="A10" s="10" t="n">
        <x:v>16302</x:v>
      </x:c>
      <x:c r="B10" s="5" t="str">
        <x:v>legacy_code</x:v>
      </x:c>
      <x:c r="C10" s="5" t="str">
        <x:v>valid</x:v>
      </x:c>
      <x:c r="D10" s="5" t="str">
        <x:v>stop</x:v>
      </x:c>
      <x:c r="E10" s="14" t="n">
        <x:v>2129</x:v>
      </x:c>
      <x:c r="F10" s="14" t="n">
        <x:v>4138</x:v>
      </x:c>
      <x:c r="G10" s="14" t="n">
        <x:v>2677</x:v>
      </x:c>
      <x:c r="H10" s="14" t="n">
        <x:v>6267</x:v>
      </x:c>
      <x:c r="I10" s="16" t="n">
        <x:v>0.00296527</x:v>
      </x:c>
      <x:c r="J10" s="16" t="n">
        <x:v>0.00296527</x:v>
      </x:c>
      <x:c r="K10" s="10" t="n">
        <x:v>1</x:v>
      </x:c>
      <x:c r="L10" s="10" t="n">
        <x:v>0</x:v>
      </x:c>
      <x:c r="M10" s="20" t="n">
        <x:v>17.613926919999358</x:v>
      </x:c>
      <x:c r="N10" s="5" t="str">
        <x:v>Reka</x:v>
      </x:c>
      <x:c r="O10" s="14" t="n">
        <x:v>384</x:v>
      </x:c>
      <x:c r="P10" s="14" t="n">
        <x:v>0</x:v>
      </x:c>
      <x:c r="Q10" s="14" t="n">
        <x:v>768</x:v>
      </x:c>
      <x:c r="R10" s="5" t="str"/>
      <x:c r="S10" s="5" t="str">
        <x:v>S012</x:v>
      </x:c>
    </x:row>
    <x:row r="11" ht="22" customHeight="1">
      <x:c r="A11" s="11" t="n">
        <x:v>16302</x:v>
      </x:c>
      <x:c r="B11" s="9" t="str">
        <x:v>anytime_code</x:v>
      </x:c>
      <x:c r="C11" s="9" t="str">
        <x:v>missing_source</x:v>
      </x:c>
      <x:c r="D11" s="9" t="str">
        <x:v>length</x:v>
      </x:c>
      <x:c r="E11" s="15" t="n">
        <x:v>2205</x:v>
      </x:c>
      <x:c r="F11" s="15" t="n">
        <x:v>32000</x:v>
      </x:c>
      <x:c r="G11" s="15" t="n">
        <x:v>21684</x:v>
      </x:c>
      <x:c r="H11" s="15" t="n">
        <x:v>34205</x:v>
      </x:c>
      <x:c r="I11" s="17" t="n">
        <x:v>0.00824039118</x:v>
      </x:c>
      <x:c r="J11" s="17" t="n">
        <x:v>0.008240391</x:v>
      </x:c>
      <x:c r="K11" s="11" t="n">
        <x:v>1</x:v>
      </x:c>
      <x:c r="L11" s="11" t="n">
        <x:v>0</x:v>
      </x:c>
      <x:c r="M11" s="21" t="n">
        <x:v>1006.257392380001</x:v>
      </x:c>
      <x:c r="N11" s="9" t="str">
        <x:v>DigitalOcean</x:v>
      </x:c>
      <x:c r="O11" s="15" t="n">
        <x:v>192</x:v>
      </x:c>
      <x:c r="P11" s="15" t="n">
        <x:v>192</x:v>
      </x:c>
      <x:c r="Q11" s="15" t="n">
        <x:v>384</x:v>
      </x:c>
      <x:c r="R11" s="9" t="str"/>
      <x:c r="S11" s="9" t="str">
        <x:v>S012</x:v>
      </x:c>
    </x:row>
    <x:row r="12" ht="22" customHeight="1">
      <x:c r="A12" s="10" t="n">
        <x:v>16302</x:v>
      </x:c>
      <x:c r="B12" s="5" t="str">
        <x:v>anytime_sparse</x:v>
      </x:c>
      <x:c r="C12" s="5" t="str">
        <x:v>valid</x:v>
      </x:c>
      <x:c r="D12" s="5" t="str">
        <x:v>stop</x:v>
      </x:c>
      <x:c r="E12" s="14" t="n">
        <x:v>3255</x:v>
      </x:c>
      <x:c r="F12" s="14" t="n">
        <x:v>15651</x:v>
      </x:c>
      <x:c r="G12" s="14" t="n">
        <x:v>13814</x:v>
      </x:c>
      <x:c r="H12" s="14" t="n">
        <x:v>18906</x:v>
      </x:c>
      <x:c r="I12" s="16" t="n">
        <x:v>0.014359488</x:v>
      </x:c>
      <x:c r="J12" s="16" t="n">
        <x:v>0.014359488</x:v>
      </x:c>
      <x:c r="K12" s="10" t="n">
        <x:v>3</x:v>
      </x:c>
      <x:c r="L12" s="10" t="n">
        <x:v>2</x:v>
      </x:c>
      <x:c r="M12" s="20" t="n">
        <x:v>75.49526656699891</x:v>
      </x:c>
      <x:c r="N12" s="5" t="str">
        <x:v>GMICloud</x:v>
      </x:c>
      <x:c r="O12" s="14" t="n">
        <x:v>384</x:v>
      </x:c>
      <x:c r="P12" s="14" t="n">
        <x:v>0</x:v>
      </x:c>
      <x:c r="Q12" s="14" t="n">
        <x:v>768</x:v>
      </x:c>
      <x:c r="R12" s="5" t="str"/>
      <x:c r="S12" s="5" t="str">
        <x:v>S012</x:v>
      </x:c>
    </x:row>
    <x:row r="13" ht="22" customHeight="1">
      <x:c r="A13" s="11" t="n">
        <x:v>16302</x:v>
      </x:c>
      <x:c r="B13" s="9" t="str">
        <x:v>anytime_rich</x:v>
      </x:c>
      <x:c r="C13" s="9" t="str">
        <x:v>valid</x:v>
      </x:c>
      <x:c r="D13" s="9" t="str">
        <x:v>stop</x:v>
      </x:c>
      <x:c r="E13" s="15" t="n">
        <x:v>8024</x:v>
      </x:c>
      <x:c r="F13" s="15" t="n">
        <x:v>6641</x:v>
      </x:c>
      <x:c r="G13" s="15" t="n">
        <x:v>5053</x:v>
      </x:c>
      <x:c r="H13" s="15" t="n">
        <x:v>14665</x:v>
      </x:c>
      <x:c r="I13" s="17" t="n">
        <x:v>0.00167682</x:v>
      </x:c>
      <x:c r="J13" s="17" t="n">
        <x:v>0.00167682</x:v>
      </x:c>
      <x:c r="K13" s="11" t="n">
        <x:v>1</x:v>
      </x:c>
      <x:c r="L13" s="11" t="n">
        <x:v>0</x:v>
      </x:c>
      <x:c r="M13" s="21" t="n">
        <x:v>259.33484032799606</x:v>
      </x:c>
      <x:c r="N13" s="9" t="str">
        <x:v>DeepInfra</x:v>
      </x:c>
      <x:c r="O13" s="15" t="n">
        <x:v>384</x:v>
      </x:c>
      <x:c r="P13" s="15" t="n">
        <x:v>0</x:v>
      </x:c>
      <x:c r="Q13" s="15" t="n">
        <x:v>768</x:v>
      </x:c>
      <x:c r="R13" s="9" t="str"/>
      <x:c r="S13" s="9" t="str">
        <x:v>S012</x:v>
      </x:c>
    </x:row>
    <x:row r="14" ht="22" customHeight="1">
      <x:c r="A14" s="10" t="n">
        <x:v>16303</x:v>
      </x:c>
      <x:c r="B14" s="5" t="str">
        <x:v>legacy_code</x:v>
      </x:c>
      <x:c r="C14" s="5" t="str">
        <x:v>valid</x:v>
      </x:c>
      <x:c r="D14" s="5" t="str">
        <x:v>stop</x:v>
      </x:c>
      <x:c r="E14" s="14" t="n">
        <x:v>684</x:v>
      </x:c>
      <x:c r="F14" s="14" t="n">
        <x:v>7129</x:v>
      </x:c>
      <x:c r="G14" s="14" t="n">
        <x:v>6588</x:v>
      </x:c>
      <x:c r="H14" s="14" t="n">
        <x:v>7813</x:v>
      </x:c>
      <x:c r="I14" s="16" t="n">
        <x:v>0.00971124</x:v>
      </x:c>
      <x:c r="J14" s="16" t="n">
        <x:v>0.00971124</x:v>
      </x:c>
      <x:c r="K14" s="10" t="n">
        <x:v>1</x:v>
      </x:c>
      <x:c r="L14" s="10" t="n">
        <x:v>0</x:v>
      </x:c>
      <x:c r="M14" s="20" t="n">
        <x:v>101.7486014640017</x:v>
      </x:c>
      <x:c r="N14" s="5" t="str">
        <x:v>Cloudflare</x:v>
      </x:c>
      <x:c r="O14" s="14" t="n">
        <x:v>384</x:v>
      </x:c>
      <x:c r="P14" s="14" t="n">
        <x:v>0</x:v>
      </x:c>
      <x:c r="Q14" s="14" t="n">
        <x:v>768</x:v>
      </x:c>
      <x:c r="R14" s="5" t="str"/>
      <x:c r="S14" s="5" t="str">
        <x:v>S012</x:v>
      </x:c>
    </x:row>
    <x:row r="15" ht="22" customHeight="1">
      <x:c r="A15" s="11" t="n">
        <x:v>16303</x:v>
      </x:c>
      <x:c r="B15" s="9" t="str">
        <x:v>anytime_code</x:v>
      </x:c>
      <x:c r="C15" s="9" t="str">
        <x:v>valid</x:v>
      </x:c>
      <x:c r="D15" s="9" t="str">
        <x:v>stop</x:v>
      </x:c>
      <x:c r="E15" s="15" t="n">
        <x:v>760</x:v>
      </x:c>
      <x:c r="F15" s="15" t="n">
        <x:v>5777</x:v>
      </x:c>
      <x:c r="G15" s="15" t="n">
        <x:v>5092</x:v>
      </x:c>
      <x:c r="H15" s="15" t="n">
        <x:v>6537</x:v>
      </x:c>
      <x:c r="I15" s="17" t="n">
        <x:v>0.00210132038</x:v>
      </x:c>
      <x:c r="J15" s="17" t="n">
        <x:v>0.00210132</x:v>
      </x:c>
      <x:c r="K15" s="11" t="n">
        <x:v>1</x:v>
      </x:c>
      <x:c r="L15" s="11" t="n">
        <x:v>0</x:v>
      </x:c>
      <x:c r="M15" s="21" t="n">
        <x:v>804.6316904720006</x:v>
      </x:c>
      <x:c r="N15" s="9" t="str">
        <x:v>Morph</x:v>
      </x:c>
      <x:c r="O15" s="15" t="n">
        <x:v>384</x:v>
      </x:c>
      <x:c r="P15" s="15" t="n">
        <x:v>0</x:v>
      </x:c>
      <x:c r="Q15" s="15" t="n">
        <x:v>768</x:v>
      </x:c>
      <x:c r="R15" s="9" t="str"/>
      <x:c r="S15" s="9" t="str">
        <x:v>S012</x:v>
      </x:c>
    </x:row>
    <x:row r="16" ht="22" customHeight="1">
      <x:c r="A16" s="10" t="n">
        <x:v>16303</x:v>
      </x:c>
      <x:c r="B16" s="5" t="str">
        <x:v>anytime_sparse</x:v>
      </x:c>
      <x:c r="C16" s="5" t="str">
        <x:v>valid</x:v>
      </x:c>
      <x:c r="D16" s="5" t="str">
        <x:v>stop</x:v>
      </x:c>
      <x:c r="E16" s="14" t="n">
        <x:v>1858</x:v>
      </x:c>
      <x:c r="F16" s="14" t="n">
        <x:v>8953</x:v>
      </x:c>
      <x:c r="G16" s="14" t="n">
        <x:v>8646</x:v>
      </x:c>
      <x:c r="H16" s="14" t="n">
        <x:v>10811</x:v>
      </x:c>
      <x:c r="I16" s="16" t="n">
        <x:v>0.00173231</x:v>
      </x:c>
      <x:c r="J16" s="16" t="n">
        <x:v>0.00173231</x:v>
      </x:c>
      <x:c r="K16" s="10" t="n">
        <x:v>1</x:v>
      </x:c>
      <x:c r="L16" s="10" t="n">
        <x:v>0</x:v>
      </x:c>
      <x:c r="M16" s="20" t="n">
        <x:v>241.99526336300187</x:v>
      </x:c>
      <x:c r="N16" s="5" t="str">
        <x:v>Relace</x:v>
      </x:c>
      <x:c r="O16" s="14" t="n">
        <x:v>384</x:v>
      </x:c>
      <x:c r="P16" s="14" t="n">
        <x:v>0</x:v>
      </x:c>
      <x:c r="Q16" s="14" t="n">
        <x:v>768</x:v>
      </x:c>
      <x:c r="R16" s="5" t="str"/>
      <x:c r="S16" s="5" t="str">
        <x:v>S012</x:v>
      </x:c>
    </x:row>
    <x:row r="17" ht="22" customHeight="1">
      <x:c r="A17" s="11" t="n">
        <x:v>16303</x:v>
      </x:c>
      <x:c r="B17" s="9" t="str">
        <x:v>anytime_rich</x:v>
      </x:c>
      <x:c r="C17" s="9" t="str">
        <x:v>valid</x:v>
      </x:c>
      <x:c r="D17" s="9" t="str">
        <x:v>stop</x:v>
      </x:c>
      <x:c r="E17" s="15" t="n">
        <x:v>6567</x:v>
      </x:c>
      <x:c r="F17" s="15" t="n">
        <x:v>5837</x:v>
      </x:c>
      <x:c r="G17" s="15" t="n">
        <x:v>5343</x:v>
      </x:c>
      <x:c r="H17" s="15" t="n">
        <x:v>12404</x:v>
      </x:c>
      <x:c r="I17" s="17" t="n">
        <x:v>0.00279177459</x:v>
      </x:c>
      <x:c r="J17" s="17" t="n">
        <x:v>0.002791774</x:v>
      </x:c>
      <x:c r="K17" s="11" t="n">
        <x:v>1</x:v>
      </x:c>
      <x:c r="L17" s="11" t="n">
        <x:v>0</x:v>
      </x:c>
      <x:c r="M17" s="21" t="n">
        <x:v>1267.2764306160025</x:v>
      </x:c>
      <x:c r="N17" s="9" t="str">
        <x:v>Morph</x:v>
      </x:c>
      <x:c r="O17" s="15" t="n">
        <x:v>384</x:v>
      </x:c>
      <x:c r="P17" s="15" t="n">
        <x:v>0</x:v>
      </x:c>
      <x:c r="Q17" s="15" t="n">
        <x:v>768</x:v>
      </x:c>
      <x:c r="R17" s="9" t="str"/>
      <x:c r="S17" s="9" t="str">
        <x:v>S012</x:v>
      </x:c>
    </x:row>
    <x:row r="18" ht="22" customHeight="1">
      <x:c r="A18" s="10" t="n">
        <x:v>16304</x:v>
      </x:c>
      <x:c r="B18" s="5" t="str">
        <x:v>legacy_code</x:v>
      </x:c>
      <x:c r="C18" s="5" t="str">
        <x:v>valid</x:v>
      </x:c>
      <x:c r="D18" s="5" t="str">
        <x:v>stop</x:v>
      </x:c>
      <x:c r="E18" s="14" t="n">
        <x:v>2129</x:v>
      </x:c>
      <x:c r="F18" s="14" t="n">
        <x:v>7508</x:v>
      </x:c>
      <x:c r="G18" s="14" t="n">
        <x:v>5731</x:v>
      </x:c>
      <x:c r="H18" s="14" t="n">
        <x:v>9637</x:v>
      </x:c>
      <x:c r="I18" s="16" t="n">
        <x:v>0.002871829502</x:v>
      </x:c>
      <x:c r="J18" s="16" t="n">
        <x:v>0.002871829</x:v>
      </x:c>
      <x:c r="K18" s="10" t="n">
        <x:v>1</x:v>
      </x:c>
      <x:c r="L18" s="10" t="n">
        <x:v>0</x:v>
      </x:c>
      <x:c r="M18" s="20" t="n">
        <x:v>913.0350764250034</x:v>
      </x:c>
      <x:c r="N18" s="5" t="str">
        <x:v>Morph</x:v>
      </x:c>
      <x:c r="O18" s="14" t="n">
        <x:v>384</x:v>
      </x:c>
      <x:c r="P18" s="14" t="n">
        <x:v>0</x:v>
      </x:c>
      <x:c r="Q18" s="14" t="n">
        <x:v>768</x:v>
      </x:c>
      <x:c r="R18" s="5" t="str"/>
      <x:c r="S18" s="5" t="str">
        <x:v>S012</x:v>
      </x:c>
    </x:row>
    <x:row r="19" ht="22" customHeight="1">
      <x:c r="A19" s="11" t="n">
        <x:v>16304</x:v>
      </x:c>
      <x:c r="B19" s="9" t="str">
        <x:v>anytime_code</x:v>
      </x:c>
      <x:c r="C19" s="9" t="str">
        <x:v>valid</x:v>
      </x:c>
      <x:c r="D19" s="9" t="str">
        <x:v>stop</x:v>
      </x:c>
      <x:c r="E19" s="15" t="n">
        <x:v>2205</x:v>
      </x:c>
      <x:c r="F19" s="15" t="n">
        <x:v>5357</x:v>
      </x:c>
      <x:c r="G19" s="15" t="n">
        <x:v>4199</x:v>
      </x:c>
      <x:c r="H19" s="15" t="n">
        <x:v>7562</x:v>
      </x:c>
      <x:c r="I19" s="17" t="n">
        <x:v>0.001944937266</x:v>
      </x:c>
      <x:c r="J19" s="17" t="n">
        <x:v>0.001944937</x:v>
      </x:c>
      <x:c r="K19" s="11" t="n">
        <x:v>1</x:v>
      </x:c>
      <x:c r="L19" s="11" t="n">
        <x:v>0</x:v>
      </x:c>
      <x:c r="M19" s="21" t="n">
        <x:v>487.36676203800016</x:v>
      </x:c>
      <x:c r="N19" s="9" t="str">
        <x:v>Morph</x:v>
      </x:c>
      <x:c r="O19" s="15" t="n">
        <x:v>384</x:v>
      </x:c>
      <x:c r="P19" s="15" t="n">
        <x:v>0</x:v>
      </x:c>
      <x:c r="Q19" s="15" t="n">
        <x:v>768</x:v>
      </x:c>
      <x:c r="R19" s="9" t="str"/>
      <x:c r="S19" s="9" t="str">
        <x:v>S012</x:v>
      </x:c>
    </x:row>
    <x:row r="20" ht="22" customHeight="1">
      <x:c r="A20" s="10" t="n">
        <x:v>16304</x:v>
      </x:c>
      <x:c r="B20" s="5" t="str">
        <x:v>anytime_sparse</x:v>
      </x:c>
      <x:c r="C20" s="5" t="str">
        <x:v>valid</x:v>
      </x:c>
      <x:c r="D20" s="5" t="str">
        <x:v>stop</x:v>
      </x:c>
      <x:c r="E20" s="14" t="n">
        <x:v>3269</x:v>
      </x:c>
      <x:c r="F20" s="14" t="n">
        <x:v>7608</x:v>
      </x:c>
      <x:c r="G20" s="14" t="n">
        <x:v>5992</x:v>
      </x:c>
      <x:c r="H20" s="14" t="n">
        <x:v>10877</x:v>
      </x:c>
      <x:c r="I20" s="16" t="n">
        <x:v>0.002858497798</x:v>
      </x:c>
      <x:c r="J20" s="16" t="n">
        <x:v>0.002858497</x:v>
      </x:c>
      <x:c r="K20" s="10" t="n">
        <x:v>1</x:v>
      </x:c>
      <x:c r="L20" s="10" t="n">
        <x:v>0</x:v>
      </x:c>
      <x:c r="M20" s="20" t="n">
        <x:v>1283.2120213829985</x:v>
      </x:c>
      <x:c r="N20" s="5" t="str">
        <x:v>Morph</x:v>
      </x:c>
      <x:c r="O20" s="14" t="n">
        <x:v>384</x:v>
      </x:c>
      <x:c r="P20" s="14" t="n">
        <x:v>0</x:v>
      </x:c>
      <x:c r="Q20" s="14" t="n">
        <x:v>768</x:v>
      </x:c>
      <x:c r="R20" s="5" t="str"/>
      <x:c r="S20" s="5" t="str">
        <x:v>S012</x:v>
      </x:c>
    </x:row>
    <x:row r="21" ht="22" customHeight="1">
      <x:c r="A21" s="11" t="n">
        <x:v>16304</x:v>
      </x:c>
      <x:c r="B21" s="9" t="str">
        <x:v>anytime_rich</x:v>
      </x:c>
      <x:c r="C21" s="9" t="str">
        <x:v>missing_source</x:v>
      </x:c>
      <x:c r="D21" s="9" t="str">
        <x:v>error</x:v>
      </x:c>
      <x:c r="E21" s="15" t="n">
        <x:v>6012</x:v>
      </x:c>
      <x:c r="F21" s="15" t="n">
        <x:v>18186</x:v>
      </x:c>
      <x:c r="G21" s="15" t="n">
        <x:v>18186</x:v>
      </x:c>
      <x:c r="H21" s="15" t="n">
        <x:v>24198</x:v>
      </x:c>
      <x:c r="I21" s="17" t="n">
        <x:v>0</x:v>
      </x:c>
      <x:c r="J21" s="17" t="n">
        <x:v>0</x:v>
      </x:c>
      <x:c r="K21" s="11" t="n">
        <x:v>1</x:v>
      </x:c>
      <x:c r="L21" s="11" t="n">
        <x:v>0</x:v>
      </x:c>
      <x:c r="M21" s="21" t="n">
        <x:v>4229.333818006002</x:v>
      </x:c>
      <x:c r="N21" s="9" t="str">
        <x:v>Morph</x:v>
      </x:c>
      <x:c r="O21" s="15" t="n">
        <x:v>192</x:v>
      </x:c>
      <x:c r="P21" s="15" t="n">
        <x:v>192</x:v>
      </x:c>
      <x:c r="Q21" s="15" t="n">
        <x:v>384</x:v>
      </x:c>
      <x:c r="R21" s="9" t="str"/>
      <x:c r="S21" s="9" t="str">
        <x:v>S012</x:v>
      </x:c>
    </x:row>
    <x:row r="22" ht="22" customHeight="1">
      <x:c r="A22" s="10" t="n">
        <x:v>16305</x:v>
      </x:c>
      <x:c r="B22" s="5" t="str">
        <x:v>legacy_code</x:v>
      </x:c>
      <x:c r="C22" s="5" t="str">
        <x:v>valid</x:v>
      </x:c>
      <x:c r="D22" s="5" t="str">
        <x:v>stop</x:v>
      </x:c>
      <x:c r="E22" s="14" t="n">
        <x:v>684</x:v>
      </x:c>
      <x:c r="F22" s="14" t="n">
        <x:v>6020</x:v>
      </x:c>
      <x:c r="G22" s="14" t="n">
        <x:v>4824</x:v>
      </x:c>
      <x:c r="H22" s="14" t="n">
        <x:v>6704</x:v>
      </x:c>
      <x:c r="I22" s="16" t="n">
        <x:v>0.00112806</x:v>
      </x:c>
      <x:c r="J22" s="16" t="n">
        <x:v>0.00112806</x:v>
      </x:c>
      <x:c r="K22" s="10" t="n">
        <x:v>1</x:v>
      </x:c>
      <x:c r="L22" s="10" t="n">
        <x:v>0</x:v>
      </x:c>
      <x:c r="M22" s="20" t="n">
        <x:v>180.64159435400506</x:v>
      </x:c>
      <x:c r="N22" s="5" t="str">
        <x:v>Sail Research</x:v>
      </x:c>
      <x:c r="O22" s="14" t="n">
        <x:v>384</x:v>
      </x:c>
      <x:c r="P22" s="14" t="n">
        <x:v>0</x:v>
      </x:c>
      <x:c r="Q22" s="14" t="n">
        <x:v>768</x:v>
      </x:c>
      <x:c r="R22" s="5" t="str"/>
      <x:c r="S22" s="5" t="str">
        <x:v>S012</x:v>
      </x:c>
    </x:row>
    <x:row r="23" ht="22" customHeight="1">
      <x:c r="A23" s="11" t="n">
        <x:v>16305</x:v>
      </x:c>
      <x:c r="B23" s="9" t="str">
        <x:v>anytime_code</x:v>
      </x:c>
      <x:c r="C23" s="9" t="str">
        <x:v>valid</x:v>
      </x:c>
      <x:c r="D23" s="9" t="str">
        <x:v>stop</x:v>
      </x:c>
      <x:c r="E23" s="15" t="n">
        <x:v>760</x:v>
      </x:c>
      <x:c r="F23" s="15" t="n">
        <x:v>7549</x:v>
      </x:c>
      <x:c r="G23" s="15" t="n">
        <x:v>6618</x:v>
      </x:c>
      <x:c r="H23" s="15" t="n">
        <x:v>8309</x:v>
      </x:c>
      <x:c r="I23" s="17" t="n">
        <x:v>0.00140822</x:v>
      </x:c>
      <x:c r="J23" s="17" t="n">
        <x:v>0.00140822</x:v>
      </x:c>
      <x:c r="K23" s="11" t="n">
        <x:v>1</x:v>
      </x:c>
      <x:c r="L23" s="11" t="n">
        <x:v>0</x:v>
      </x:c>
      <x:c r="M23" s="21" t="n">
        <x:v>290.8995782330021</x:v>
      </x:c>
      <x:c r="N23" s="9" t="str">
        <x:v>Relace</x:v>
      </x:c>
      <x:c r="O23" s="15" t="n">
        <x:v>384</x:v>
      </x:c>
      <x:c r="P23" s="15" t="n">
        <x:v>0</x:v>
      </x:c>
      <x:c r="Q23" s="15" t="n">
        <x:v>768</x:v>
      </x:c>
      <x:c r="R23" s="9" t="str"/>
      <x:c r="S23" s="9" t="str">
        <x:v>S012</x:v>
      </x:c>
    </x:row>
    <x:row r="24" ht="22" customHeight="1">
      <x:c r="A24" s="10" t="n">
        <x:v>16305</x:v>
      </x:c>
      <x:c r="B24" s="5" t="str">
        <x:v>anytime_sparse</x:v>
      </x:c>
      <x:c r="C24" s="5" t="str">
        <x:v>valid</x:v>
      </x:c>
      <x:c r="D24" s="5" t="str">
        <x:v>stop</x:v>
      </x:c>
      <x:c r="E24" s="14" t="n">
        <x:v>1868</x:v>
      </x:c>
      <x:c r="F24" s="14" t="n">
        <x:v>7411</x:v>
      </x:c>
      <x:c r="G24" s="14" t="n">
        <x:v>6967</x:v>
      </x:c>
      <x:c r="H24" s="14" t="n">
        <x:v>9279</x:v>
      </x:c>
      <x:c r="I24" s="16" t="n">
        <x:v>0.00509674</x:v>
      </x:c>
      <x:c r="J24" s="16" t="n">
        <x:v>0.00509674</x:v>
      </x:c>
      <x:c r="K24" s="10" t="n">
        <x:v>1</x:v>
      </x:c>
      <x:c r="L24" s="10" t="n">
        <x:v>0</x:v>
      </x:c>
      <x:c r="M24" s="20" t="n">
        <x:v>29.249086754003656</x:v>
      </x:c>
      <x:c r="N24" s="5" t="str">
        <x:v>Reka</x:v>
      </x:c>
      <x:c r="O24" s="14" t="n">
        <x:v>384</x:v>
      </x:c>
      <x:c r="P24" s="14" t="n">
        <x:v>0</x:v>
      </x:c>
      <x:c r="Q24" s="14" t="n">
        <x:v>768</x:v>
      </x:c>
      <x:c r="R24" s="5" t="str"/>
      <x:c r="S24" s="5" t="str">
        <x:v>S012</x:v>
      </x:c>
    </x:row>
    <x:row r="25" ht="22" customHeight="1">
      <x:c r="A25" s="11" t="n">
        <x:v>16305</x:v>
      </x:c>
      <x:c r="B25" s="9" t="str">
        <x:v>anytime_rich</x:v>
      </x:c>
      <x:c r="C25" s="9" t="str">
        <x:v>valid</x:v>
      </x:c>
      <x:c r="D25" s="9" t="str">
        <x:v>stop</x:v>
      </x:c>
      <x:c r="E25" s="15" t="n">
        <x:v>6508</x:v>
      </x:c>
      <x:c r="F25" s="15" t="n">
        <x:v>5870</x:v>
      </x:c>
      <x:c r="G25" s="15" t="n">
        <x:v>5190</x:v>
      </x:c>
      <x:c r="H25" s="15" t="n">
        <x:v>12378</x:v>
      </x:c>
      <x:c r="I25" s="17" t="n">
        <x:v>0.001168659</x:v>
      </x:c>
      <x:c r="J25" s="17" t="n">
        <x:v>0.001168659</x:v>
      </x:c>
      <x:c r="K25" s="11" t="n">
        <x:v>1</x:v>
      </x:c>
      <x:c r="L25" s="11" t="n">
        <x:v>0</x:v>
      </x:c>
      <x:c r="M25" s="21" t="n">
        <x:v>251.18112029199983</x:v>
      </x:c>
      <x:c r="N25" s="9" t="str">
        <x:v>OpenInference</x:v>
      </x:c>
      <x:c r="O25" s="15" t="n">
        <x:v>384</x:v>
      </x:c>
      <x:c r="P25" s="15" t="n">
        <x:v>0</x:v>
      </x:c>
      <x:c r="Q25" s="15" t="n">
        <x:v>768</x:v>
      </x:c>
      <x:c r="R25" s="9" t="str"/>
      <x:c r="S25" s="9" t="str">
        <x:v>S012</x:v>
      </x:c>
    </x:row>
    <x:row r="26" ht="22" customHeight="1">
      <x:c r="A26" s="10" t="n">
        <x:v>16306</x:v>
      </x:c>
      <x:c r="B26" s="5" t="str">
        <x:v>legacy_code</x:v>
      </x:c>
      <x:c r="C26" s="5" t="str">
        <x:v>valid</x:v>
      </x:c>
      <x:c r="D26" s="5" t="str">
        <x:v>stop</x:v>
      </x:c>
      <x:c r="E26" s="14" t="n">
        <x:v>2129</x:v>
      </x:c>
      <x:c r="F26" s="14" t="n">
        <x:v>8121</x:v>
      </x:c>
      <x:c r="G26" s="14" t="n">
        <x:v>6528</x:v>
      </x:c>
      <x:c r="H26" s="14" t="n">
        <x:v>10250</x:v>
      </x:c>
      <x:c r="I26" s="16" t="n">
        <x:v>0.00140581</x:v>
      </x:c>
      <x:c r="J26" s="16" t="n">
        <x:v>0.00140581</x:v>
      </x:c>
      <x:c r="K26" s="10" t="n">
        <x:v>1</x:v>
      </x:c>
      <x:c r="L26" s="10" t="n">
        <x:v>0</x:v>
      </x:c>
      <x:c r="M26" s="20" t="n">
        <x:v>354.23131572099373</x:v>
      </x:c>
      <x:c r="N26" s="5" t="str">
        <x:v>OpenInference</x:v>
      </x:c>
      <x:c r="O26" s="14" t="n">
        <x:v>384</x:v>
      </x:c>
      <x:c r="P26" s="14" t="n">
        <x:v>0</x:v>
      </x:c>
      <x:c r="Q26" s="14" t="n">
        <x:v>768</x:v>
      </x:c>
      <x:c r="R26" s="5" t="str"/>
      <x:c r="S26" s="5" t="str">
        <x:v>S012</x:v>
      </x:c>
    </x:row>
    <x:row r="27" ht="22" customHeight="1">
      <x:c r="A27" s="11" t="n">
        <x:v>16306</x:v>
      </x:c>
      <x:c r="B27" s="9" t="str">
        <x:v>anytime_code</x:v>
      </x:c>
      <x:c r="C27" s="9" t="str">
        <x:v>valid</x:v>
      </x:c>
      <x:c r="D27" s="9" t="str">
        <x:v>stop</x:v>
      </x:c>
      <x:c r="E27" s="15" t="n">
        <x:v>2205</x:v>
      </x:c>
      <x:c r="F27" s="15" t="n">
        <x:v>6772</x:v>
      </x:c>
      <x:c r="G27" s="15" t="n">
        <x:v>5176</x:v>
      </x:c>
      <x:c r="H27" s="15" t="n">
        <x:v>8977</x:v>
      </x:c>
      <x:c r="I27" s="17" t="n">
        <x:v>0.00119377</x:v>
      </x:c>
      <x:c r="J27" s="17" t="n">
        <x:v>0.00119377</x:v>
      </x:c>
      <x:c r="K27" s="11" t="n">
        <x:v>1</x:v>
      </x:c>
      <x:c r="L27" s="11" t="n">
        <x:v>0</x:v>
      </x:c>
      <x:c r="M27" s="21" t="n">
        <x:v>298.690641606001</x:v>
      </x:c>
      <x:c r="N27" s="9" t="str">
        <x:v>OpenInference</x:v>
      </x:c>
      <x:c r="O27" s="15" t="n">
        <x:v>384</x:v>
      </x:c>
      <x:c r="P27" s="15" t="n">
        <x:v>0</x:v>
      </x:c>
      <x:c r="Q27" s="15" t="n">
        <x:v>768</x:v>
      </x:c>
      <x:c r="R27" s="9" t="str"/>
      <x:c r="S27" s="9" t="str">
        <x:v>S012</x:v>
      </x:c>
    </x:row>
    <x:row r="28" ht="22" customHeight="1">
      <x:c r="A28" s="10" t="n">
        <x:v>16306</x:v>
      </x:c>
      <x:c r="B28" s="5" t="str">
        <x:v>anytime_sparse</x:v>
      </x:c>
      <x:c r="C28" s="5" t="str">
        <x:v>valid</x:v>
      </x:c>
      <x:c r="D28" s="5" t="str">
        <x:v>stop</x:v>
      </x:c>
      <x:c r="E28" s="14" t="n">
        <x:v>3263</x:v>
      </x:c>
      <x:c r="F28" s="14" t="n">
        <x:v>5358</x:v>
      </x:c>
      <x:c r="G28" s="14" t="n">
        <x:v>3764</x:v>
      </x:c>
      <x:c r="H28" s="14" t="n">
        <x:v>8621</x:v>
      </x:c>
      <x:c r="I28" s="16" t="n">
        <x:v>0.00102043</x:v>
      </x:c>
      <x:c r="J28" s="16" t="n">
        <x:v>0.00102043</x:v>
      </x:c>
      <x:c r="K28" s="10" t="n">
        <x:v>1</x:v>
      </x:c>
      <x:c r="L28" s="10" t="n">
        <x:v>0</x:v>
      </x:c>
      <x:c r="M28" s="20" t="n">
        <x:v>235.08159915300348</x:v>
      </x:c>
      <x:c r="N28" s="5" t="str">
        <x:v>OpenInference</x:v>
      </x:c>
      <x:c r="O28" s="14" t="n">
        <x:v>384</x:v>
      </x:c>
      <x:c r="P28" s="14" t="n">
        <x:v>0</x:v>
      </x:c>
      <x:c r="Q28" s="14" t="n">
        <x:v>768</x:v>
      </x:c>
      <x:c r="R28" s="5" t="str"/>
      <x:c r="S28" s="5" t="str">
        <x:v>S012</x:v>
      </x:c>
    </x:row>
    <x:row r="29" ht="22" customHeight="1">
      <x:c r="A29" s="11" t="n">
        <x:v>16306</x:v>
      </x:c>
      <x:c r="B29" s="9" t="str">
        <x:v>anytime_rich</x:v>
      </x:c>
      <x:c r="C29" s="9" t="str">
        <x:v>valid</x:v>
      </x:c>
      <x:c r="D29" s="9" t="str">
        <x:v>stop</x:v>
      </x:c>
      <x:c r="E29" s="15" t="n">
        <x:v>8304</x:v>
      </x:c>
      <x:c r="F29" s="15" t="n">
        <x:v>5908</x:v>
      </x:c>
      <x:c r="G29" s="15" t="n">
        <x:v>4956</x:v>
      </x:c>
      <x:c r="H29" s="15" t="n">
        <x:v>14212</x:v>
      </x:c>
      <x:c r="I29" s="17" t="n">
        <x:v>0.001200048</x:v>
      </x:c>
      <x:c r="J29" s="17" t="n">
        <x:v>0.001200048</x:v>
      </x:c>
      <x:c r="K29" s="11" t="n">
        <x:v>1</x:v>
      </x:c>
      <x:c r="L29" s="11" t="n">
        <x:v>0</x:v>
      </x:c>
      <x:c r="M29" s="21" t="n">
        <x:v>261.1282564370049</x:v>
      </x:c>
      <x:c r="N29" s="9" t="str">
        <x:v>OpenInference</x:v>
      </x:c>
      <x:c r="O29" s="15" t="n">
        <x:v>384</x:v>
      </x:c>
      <x:c r="P29" s="15" t="n">
        <x:v>0</x:v>
      </x:c>
      <x:c r="Q29" s="15" t="n">
        <x:v>768</x:v>
      </x:c>
      <x:c r="R29" s="9" t="str"/>
      <x:c r="S29" s="9" t="str">
        <x:v>S012</x:v>
      </x:c>
    </x:row>
    <x:row r="34" ht="44" customHeight="1">
      <x:c r="A34" s="8" t="str">
        <x:v>Condition</x:v>
      </x:c>
      <x:c r="B34" s="8" t="str">
        <x:v>Réponses</x:v>
      </x:c>
      <x:c r="C34" s="8" t="str">
        <x:v>Tentatives</x:v>
      </x:c>
      <x:c r="D34" s="8" t="str">
        <x:v>Tokens prompt</x:v>
      </x:c>
      <x:c r="E34" s="8" t="str">
        <x:v>Tokens complétion</x:v>
      </x:c>
      <x:c r="F34" s="8" t="str">
        <x:v>Tokens raisonnement</x:v>
      </x:c>
      <x:c r="G34" s="8" t="str">
        <x:v>Tokens totaux</x:v>
      </x:c>
      <x:c r="H34" s="8" t="str">
        <x:v>Coût réponse USD</x:v>
      </x:c>
      <x:c r="I34" s="8" t="str">
        <x:v>Source</x:v>
      </x:c>
    </x:row>
    <x:row r="35" ht="22" customHeight="1">
      <x:c r="A35" s="5" t="str">
        <x:v>legacy_code</x:v>
      </x:c>
      <x:c r="B35" s="10" t="n">
        <x:f>COUNTIF(B6:B29,A35)</x:f>
        <x:v>6</x:v>
      </x:c>
      <x:c r="C35" s="10" t="n">
        <x:f>SUMIF(B6:B29,A35,K6:K29)</x:f>
        <x:v>6</x:v>
      </x:c>
      <x:c r="D35" s="14" t="n">
        <x:f>SUMIF(B6:B29,A35,E6:E29)</x:f>
        <x:v>8439</x:v>
      </x:c>
      <x:c r="E35" s="14" t="n">
        <x:f>SUMIF(B6:B29,A35,F6:F29)</x:f>
        <x:v>37462</x:v>
      </x:c>
      <x:c r="F35" s="14" t="n">
        <x:f>SUMIF(B6:B29,A35,G6:G29)</x:f>
        <x:v>29532</x:v>
      </x:c>
      <x:c r="G35" s="14" t="n">
        <x:f>SUMIF(B6:B29,A35,H6:H29)</x:f>
        <x:v>45901</x:v>
      </x:c>
      <x:c r="H35" s="16" t="n">
        <x:f>SUMIF(B6:B29,A35,I6:I29)</x:f>
        <x:v>0.018843769502</x:v>
      </x:c>
      <x:c r="I35" s="5" t="str">
        <x:v>S012</x:v>
      </x:c>
    </x:row>
    <x:row r="36" ht="22" customHeight="1">
      <x:c r="A36" s="9" t="str">
        <x:v>anytime_code</x:v>
      </x:c>
      <x:c r="B36" s="11" t="n">
        <x:f>COUNTIF(B6:B29,A36)</x:f>
        <x:v>6</x:v>
      </x:c>
      <x:c r="C36" s="11" t="n">
        <x:f>SUMIF(B6:B29,A36,K6:K29)</x:f>
        <x:v>6</x:v>
      </x:c>
      <x:c r="D36" s="15" t="n">
        <x:f>SUMIF(B6:B29,A36,E6:E29)</x:f>
        <x:v>8895</x:v>
      </x:c>
      <x:c r="E36" s="15" t="n">
        <x:f>SUMIF(B6:B29,A36,F6:F29)</x:f>
        <x:v>84049</x:v>
      </x:c>
      <x:c r="F36" s="15" t="n">
        <x:f>SUMIF(B6:B29,A36,G6:G29)</x:f>
        <x:v>61265</x:v>
      </x:c>
      <x:c r="G36" s="15" t="n">
        <x:f>SUMIF(B6:B29,A36,H6:H29)</x:f>
        <x:v>92944</x:v>
      </x:c>
      <x:c r="H36" s="17" t="n">
        <x:f>SUMIF(B6:B29,A36,I6:I29)</x:f>
        <x:v>0.021651123786</x:v>
      </x:c>
      <x:c r="I36" s="9" t="str">
        <x:v>S012</x:v>
      </x:c>
    </x:row>
    <x:row r="37" ht="22" customHeight="1">
      <x:c r="A37" s="5" t="str">
        <x:v>anytime_sparse</x:v>
      </x:c>
      <x:c r="B37" s="10" t="n">
        <x:f>COUNTIF(B6:B29,A37)</x:f>
        <x:v>6</x:v>
      </x:c>
      <x:c r="C37" s="10" t="n">
        <x:f>SUMIF(B6:B29,A37,K6:K29)</x:f>
        <x:v>8</x:v>
      </x:c>
      <x:c r="D37" s="14" t="n">
        <x:f>SUMIF(B6:B29,A37,E6:E29)</x:f>
        <x:v>15381</x:v>
      </x:c>
      <x:c r="E37" s="14" t="n">
        <x:f>SUMIF(B6:B29,A37,F6:F29)</x:f>
        <x:v>51114</x:v>
      </x:c>
      <x:c r="F37" s="14" t="n">
        <x:f>SUMIF(B6:B29,A37,G6:G29)</x:f>
        <x:v>44790</x:v>
      </x:c>
      <x:c r="G37" s="14" t="n">
        <x:f>SUMIF(B6:B29,A37,H6:H29)</x:f>
        <x:v>66495</x:v>
      </x:c>
      <x:c r="H37" s="16" t="n">
        <x:f>SUMIF(B6:B29,A37,I6:I29)</x:f>
        <x:v>0.026292825797999998</x:v>
      </x:c>
      <x:c r="I37" s="5" t="str">
        <x:v>S012</x:v>
      </x:c>
    </x:row>
    <x:row r="38" ht="22" customHeight="1">
      <x:c r="A38" s="9" t="str">
        <x:v>anytime_rich</x:v>
      </x:c>
      <x:c r="B38" s="11" t="n">
        <x:f>COUNTIF(B6:B29,A38)</x:f>
        <x:v>6</x:v>
      </x:c>
      <x:c r="C38" s="11" t="n">
        <x:f>SUMIF(B6:B29,A38,K6:K29)</x:f>
        <x:v>6</x:v>
      </x:c>
      <x:c r="D38" s="15" t="n">
        <x:f>SUMIF(B6:B29,A38,E6:E29)</x:f>
        <x:v>41909</x:v>
      </x:c>
      <x:c r="E38" s="15" t="n">
        <x:f>SUMIF(B6:B29,A38,F6:F29)</x:f>
        <x:v>74442</x:v>
      </x:c>
      <x:c r="F38" s="15" t="n">
        <x:f>SUMIF(B6:B29,A38,G6:G29)</x:f>
        <x:v>72546</x:v>
      </x:c>
      <x:c r="G38" s="15" t="n">
        <x:f>SUMIF(B6:B29,A38,H6:H29)</x:f>
        <x:v>116351</x:v>
      </x:c>
      <x:c r="H38" s="17" t="n">
        <x:f>SUMIF(B6:B29,A38,I6:I29)</x:f>
        <x:v>0.012986941590000002</x:v>
      </x:c>
      <x:c r="I38" s="9" t="str">
        <x:v>S012</x:v>
      </x:c>
    </x:row>
  </x:sheetData>
  <x:pageMargins left="0.7" right="0.7" top="0.75" bottom="0.75" header="0.3" footer="0.3"/>
  <x:tableParts count="2">
    <x:tablePart xmlns:r="http://schemas.openxmlformats.org/officeDocument/2006/relationships" r:id="R95ae49572b73496e"/>
    <x:tablePart xmlns:r="http://schemas.openxmlformats.org/officeDocument/2006/relationships" r:id="Rf20e565150114964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90" hidden="0" customWidth="1"/>
    <x:col min="3" max="3" width="53" hidden="0" customWidth="1"/>
    <x:col min="4" max="4" width="75" hidden="0" customWidth="1"/>
    <x:col min="5" max="5" width="32" hidden="0" customWidth="1"/>
    <x:col min="6" max="6" width="75" hidden="0" customWidth="1"/>
  </x:cols>
  <x:sheetData>
    <x:row r="1" ht="29" customHeight="1">
      <x:c r="A1" s="1" t="str">
        <x:v>Sources et empreintes des données</x:v>
      </x:c>
    </x:row>
    <x:row r="2" ht="21" customHeight="1">
      <x:c r="A2" s="2" t="str">
        <x:v>Chemins relatifs au dépôt. Les hashes portent sur les fichiers effectivement lus.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Les hashes canoniques des trajectoires B2 sont séparés dans B2 ; les fichiers gzip ont aussi leur hash d’octets.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4" customHeight="1">
      <x:c r="A5" s="8" t="str">
        <x:v>ID</x:v>
      </x:c>
      <x:c r="B5" s="8" t="str">
        <x:v>Fichier source</x:v>
      </x:c>
      <x:c r="C5" s="8" t="str">
        <x:v>Section / champs</x:v>
      </x:c>
      <x:c r="D5" s="8" t="str">
        <x:v>SHA-256 des octets</x:v>
      </x:c>
      <x:c r="E5" s="8" t="str">
        <x:v>Type d’empreinte</x:v>
      </x:c>
      <x:c r="F5" s="8" t="str">
        <x:v>Utilisation</x:v>
      </x:c>
    </x:row>
    <x:row r="6" ht="43" customHeight="1">
      <x:c r="A6" s="5" t="str">
        <x:v>S001</x:v>
      </x:c>
      <x:c r="B6" s="23" t="str">
        <x:v>artifacts/optimizer_discovery/exp15_results.json</x:v>
      </x:c>
      <x:c r="C6" s="23" t="str">
        <x:v>per_seed, arms, contrasts, accounting</x:v>
      </x:c>
      <x:c r="D6" s="5" t="str">
        <x:v>c0bb192562b1f6a373e7380665fe9937e59a6e71daff810cdbc7942fbfc6e478</x:v>
      </x:c>
      <x:c r="E6" s="5" t="str">
        <x:v>SHA-256 des octets</x:v>
      </x:c>
      <x:c r="F6" s="23" t="str">
        <x:v>Résultats confirmatoires EXP-15 inchangés</x:v>
      </x:c>
    </x:row>
    <x:row r="7" ht="43" customHeight="1">
      <x:c r="A7" s="9" t="str">
        <x:v>S002</x:v>
      </x:c>
      <x:c r="B7" s="24" t="str">
        <x:v>artifacts/optimizer_discovery/investigation16/statistics/diagnostics.json</x:v>
      </x:c>
      <x:c r="C7" s="24" t="str">
        <x:v>responses, feedback, selections, stratum_means, contrasts</x:v>
      </x:c>
      <x:c r="D7" s="9" t="str">
        <x:v>24721eed96ec7063147df4bc91ed115762232eb861ead60c21df091e62f0f0e9</x:v>
      </x:c>
      <x:c r="E7" s="9" t="str">
        <x:v>SHA-256 des octets</x:v>
      </x:c>
      <x:c r="F7" s="24" t="str">
        <x:v>Audit rétrospectif S0, aucune nouvelle génération</x:v>
      </x:c>
    </x:row>
    <x:row r="8" ht="43" customHeight="1">
      <x:c r="A8" s="5" t="str">
        <x:v>S003</x:v>
      </x:c>
      <x:c r="B8" s="23" t="str">
        <x:v>artifacts/optimizer_discovery/investigation16/generation/analysis_results.json</x:v>
      </x:c>
      <x:c r="C8" s="23" t="str">
        <x:v>rows, caps, usage_total</x:v>
      </x:c>
      <x:c r="D8" s="5" t="str">
        <x:v>7694baa16b36b0350bde918fc9e9e257dc812f6f15d9918c382f9ec32c569d31</x:v>
      </x:c>
      <x:c r="E8" s="5" t="str">
        <x:v>SHA-256 des octets</x:v>
      </x:c>
      <x:c r="F8" s="23" t="str">
        <x:v>Audit final G1, tous les slots</x:v>
      </x:c>
    </x:row>
    <x:row r="9" ht="43" customHeight="1">
      <x:c r="A9" s="9" t="str">
        <x:v>S004</x:v>
      </x:c>
      <x:c r="B9" s="24" t="str">
        <x:v>artifacts/optimizer_discovery/investigation16/benchmark/results.json</x:v>
      </x:c>
      <x:c r="C9" s="24" t="str">
        <x:v>groups, mean_curve</x:v>
      </x:c>
      <x:c r="D9" s="9" t="str">
        <x:v>ff65efd3a097456003a33793c8d3fbbc0f8c94fdf8348c1f87cc27b6ad20b10b</x:v>
      </x:c>
      <x:c r="E9" s="9" t="str">
        <x:v>SHA-256 des octets</x:v>
      </x:c>
      <x:c r="F9" s="24" t="str">
        <x:v>Données exactes de headroom.png et headroom.pdf</x:v>
      </x:c>
    </x:row>
    <x:row r="10" ht="43" customHeight="1">
      <x:c r="A10" s="5" t="str">
        <x:v>S005</x:v>
      </x:c>
      <x:c r="B10" s="23" t="str">
        <x:v>artifacts/optimizer_discovery/investigation16/benchmark/b2/results.json</x:v>
      </x:c>
      <x:c r="C10" s="23" t="str">
        <x:v>paired_rows, groups</x:v>
      </x:c>
      <x:c r="D10" s="5" t="str">
        <x:v>170eca3f070e06a1c397eb78726f6c17b6e6535e6ea6afa838af38d0e684a0e4</x:v>
      </x:c>
      <x:c r="E10" s="5" t="str">
        <x:v>SHA-256 du fichier gzip</x:v>
      </x:c>
      <x:c r="F10" s="23" t="str">
        <x:v>Données exactes des quatre panneaux paired_outcomes</x:v>
      </x:c>
    </x:row>
    <x:row r="11" ht="43" customHeight="1">
      <x:c r="A11" s="9" t="str">
        <x:v>S006</x:v>
      </x:c>
      <x:c r="B11" s="24" t="str">
        <x:v>artifacts/optimizer_discovery/investigation16/benchmark/b2/freeze.json</x:v>
      </x:c>
      <x:c r="C11" s="24" t="str">
        <x:v>allocations, source hashes</x:v>
      </x:c>
      <x:c r="D11" s="9" t="str">
        <x:v>a190eed7411a5ff122220fdd40b9aa4cee80f0d367f418b858c280671f5b8a22</x:v>
      </x:c>
      <x:c r="E11" s="9" t="str">
        <x:v>SHA-256 des octets</x:v>
      </x:c>
      <x:c r="F11" s="24" t="str">
        <x:v>Identités des 96 paires B2</x:v>
      </x:c>
    </x:row>
    <x:row r="12" ht="43" customHeight="1">
      <x:c r="A12" s="5" t="str">
        <x:v>S007</x:v>
      </x:c>
      <x:c r="B12" s="23" t="str">
        <x:v>artifacts/optimizer_discovery/investigation16/benchmark/b2/paired_outcomes_checks.json</x:v>
      </x:c>
      <x:c r="C12" s="23" t="str">
        <x:v>panels, raw_input_byte_hashes</x:v>
      </x:c>
      <x:c r="D12" s="5" t="str">
        <x:v>2bd8f615b49310bb68e41ff00731c620765efd7b3c0e393f81ae203a2fc0b7df</x:v>
      </x:c>
      <x:c r="E12" s="5" t="str">
        <x:v>SHA-256 des octets</x:v>
      </x:c>
      <x:c r="F12" s="23" t="str">
        <x:v>Vérification indépendante des données de la figure B2</x:v>
      </x:c>
    </x:row>
    <x:row r="13" ht="43" customHeight="1">
      <x:c r="A13" s="9" t="str">
        <x:v>S008</x:v>
      </x:c>
      <x:c r="B13" s="24" t="str">
        <x:v>artifacts/optimizer_discovery/investigation16/selection/results.json</x:v>
      </x:c>
      <x:c r="C13" s="24" t="str">
        <x:v>summaries, audit_bank_auc, accounting</x:v>
      </x:c>
      <x:c r="D13" s="9" t="str">
        <x:v>115d89866ab95abba7453716b8d6a768bd43cc2c46b3321727445b740aacd4f4</x:v>
      </x:c>
      <x:c r="E13" s="9" t="str">
        <x:v>SHA-256 des octets</x:v>
      </x:c>
      <x:c r="F13" s="24" t="str">
        <x:v>Données exactes de selection_quality.png et .svg</x:v>
      </x:c>
    </x:row>
    <x:row r="14" ht="43" customHeight="1">
      <x:c r="A14" s="5" t="str">
        <x:v>S009</x:v>
      </x:c>
      <x:c r="B14" s="23" t="str">
        <x:v>artifacts/optimizer_discovery/investigation16/selection/freeze.json</x:v>
      </x:c>
      <x:c r="C14" s="23" t="str">
        <x:v>bank</x:v>
      </x:c>
      <x:c r="D14" s="5" t="str">
        <x:v>427629edcaecc8b275fbfe72132724999a58a2149f4bf44fa2c3ee393253d6a3</x:v>
      </x:c>
      <x:c r="E14" s="5" t="str">
        <x:v>SHA-256 des octets</x:v>
      </x:c>
      <x:c r="F14" s="23" t="str">
        <x:v>Banque fixe, provenance et sources</x:v>
      </x:c>
    </x:row>
    <x:row r="15" ht="43" customHeight="1">
      <x:c r="A15" s="9" t="str">
        <x:v>S010</x:v>
      </x:c>
      <x:c r="B15" s="24" t="str">
        <x:v>artifacts/optimizer_discovery/investigation16/throughput/results.json</x:v>
      </x:c>
      <x:c r="C15" s="24" t="str">
        <x:v>timings</x:v>
      </x:c>
      <x:c r="D15" s="9" t="str">
        <x:v>5157d93fc266f5aea64265936203330471fe40207701f66f2186ba81355989c9</x:v>
      </x:c>
      <x:c r="E15" s="9" t="str">
        <x:v>SHA-256 des octets</x:v>
      </x:c>
      <x:c r="F15" s="24" t="str">
        <x:v>Mesures originales, y compris la mesure affectée par suspension</x:v>
      </x:c>
    </x:row>
    <x:row r="16" ht="43" customHeight="1">
      <x:c r="A16" s="5" t="str">
        <x:v>S011</x:v>
      </x:c>
      <x:c r="B16" s="23" t="str">
        <x:v>artifacts/optimizer_discovery/investigation16/throughput/timing_repair_r1/results.json</x:v>
      </x:c>
      <x:c r="C16" s="23" t="str">
        <x:v>corrected_summaries</x:v>
      </x:c>
      <x:c r="D16" s="5" t="str">
        <x:v>42d923a765e98a5885d811ef3e38245be2a99c122181d4f0e3bcc3e32443a3ac</x:v>
      </x:c>
      <x:c r="E16" s="5" t="str">
        <x:v>SHA-256 des octets</x:v>
      </x:c>
      <x:c r="F16" s="23" t="str">
        <x:v>Mesure de remplacement et moyennes corrigées</x:v>
      </x:c>
    </x:row>
    <x:row r="17" ht="43" customHeight="1">
      <x:c r="A17" s="9" t="str">
        <x:v>S012</x:v>
      </x:c>
      <x:c r="B17" s="24" t="str">
        <x:v>artifacts/optimizer_discovery/investigation16/feedback_experiment/analysis_results.json</x:v>
      </x:c>
      <x:c r="C17" s="24" t="str">
        <x:v>rows, conditions, contrasts, usage, total_allocation</x:v>
      </x:c>
      <x:c r="D17" s="9" t="str">
        <x:v>db33fadce713e2159992e60420d3b0b059a6ac37042d9fd4176bbe507a37f806</x:v>
      </x:c>
      <x:c r="E17" s="9" t="str">
        <x:v>SHA-256 des octets</x:v>
      </x:c>
      <x:c r="F17" s="24" t="str">
        <x:v>Audit final F1, estimand de déploiement avec repli commun</x:v>
      </x:c>
    </x:row>
    <x:row r="18" ht="43" customHeight="1">
      <x:c r="A18" s="5" t="str">
        <x:v>S013</x:v>
      </x:c>
      <x:c r="B18" s="23" t="str">
        <x:v>artifacts/optimizer_discovery/investigation16/benchmark/raw/central/seed/16201_00.json</x:v>
      </x:c>
      <x:c r="C18" s="23" t="str">
        <x:v>metrics.auc, metrics.final_regret</x:v>
      </x:c>
      <x:c r="D18" s="5" t="str">
        <x:v>83a4dfeb4aab30fbf84ef91788c552f214a13b1ebb74553cd0de5822317b3109</x:v>
      </x:c>
      <x:c r="E18" s="5" t="str">
        <x:v>SHA-256 des octets</x:v>
      </x:c>
      <x:c r="F18" s="23" t="str">
        <x:v>Paire B2 central/16201_00, seed</x:v>
      </x:c>
    </x:row>
    <x:row r="19" ht="43" customHeight="1">
      <x:c r="A19" s="9" t="str">
        <x:v>S014</x:v>
      </x:c>
      <x:c r="B19" s="24" t="str">
        <x:v>artifacts/optimizer_discovery/investigation16/benchmark/b2/raw/central/16201_00.json</x:v>
      </x:c>
      <x:c r="C19" s="24" t="str">
        <x:v>metrics.auc, metrics.final_regret</x:v>
      </x:c>
      <x:c r="D19" s="9" t="str">
        <x:v>43cc31d75e4b60b2bd69127730e500424853e1767e4e50d4242d47957590e63b</x:v>
      </x:c>
      <x:c r="E19" s="9" t="str">
        <x:v>SHA-256 des octets</x:v>
      </x:c>
      <x:c r="F19" s="24" t="str">
        <x:v>Paire B2 central/16201_00, variant</x:v>
      </x:c>
    </x:row>
    <x:row r="20" ht="43" customHeight="1">
      <x:c r="A20" s="5" t="str">
        <x:v>S015</x:v>
      </x:c>
      <x:c r="B20" s="23" t="str">
        <x:v>artifacts/optimizer_discovery/investigation16/benchmark/raw/central/seed/16202_00.json</x:v>
      </x:c>
      <x:c r="C20" s="23" t="str">
        <x:v>metrics.auc, metrics.final_regret</x:v>
      </x:c>
      <x:c r="D20" s="5" t="str">
        <x:v>4146e6e4f6918f52a950fda77dba204d915dd6deca0f6312f8098b8c65b5949c</x:v>
      </x:c>
      <x:c r="E20" s="5" t="str">
        <x:v>SHA-256 des octets</x:v>
      </x:c>
      <x:c r="F20" s="23" t="str">
        <x:v>Paire B2 central/16202_00, seed</x:v>
      </x:c>
    </x:row>
    <x:row r="21" ht="43" customHeight="1">
      <x:c r="A21" s="9" t="str">
        <x:v>S016</x:v>
      </x:c>
      <x:c r="B21" s="24" t="str">
        <x:v>artifacts/optimizer_discovery/investigation16/benchmark/b2/raw/central/16202_00.json</x:v>
      </x:c>
      <x:c r="C21" s="24" t="str">
        <x:v>metrics.auc, metrics.final_regret</x:v>
      </x:c>
      <x:c r="D21" s="9" t="str">
        <x:v>484b909a4f601d41235c7b1c52aad43306ef4c7e02eccb845da64ae9993f1b7d</x:v>
      </x:c>
      <x:c r="E21" s="9" t="str">
        <x:v>SHA-256 des octets</x:v>
      </x:c>
      <x:c r="F21" s="24" t="str">
        <x:v>Paire B2 central/16202_00, variant</x:v>
      </x:c>
    </x:row>
    <x:row r="22" ht="43" customHeight="1">
      <x:c r="A22" s="5" t="str">
        <x:v>S017</x:v>
      </x:c>
      <x:c r="B22" s="23" t="str">
        <x:v>artifacts/optimizer_discovery/investigation16/benchmark/raw/central/seed/16203_00.json</x:v>
      </x:c>
      <x:c r="C22" s="23" t="str">
        <x:v>metrics.auc, metrics.final_regret</x:v>
      </x:c>
      <x:c r="D22" s="5" t="str">
        <x:v>97abf878b22f680440a739c07543df5ac89d18705fd64ea0c7bdc3ffd76405ef</x:v>
      </x:c>
      <x:c r="E22" s="5" t="str">
        <x:v>SHA-256 des octets</x:v>
      </x:c>
      <x:c r="F22" s="23" t="str">
        <x:v>Paire B2 central/16203_00, seed</x:v>
      </x:c>
    </x:row>
    <x:row r="23" ht="43" customHeight="1">
      <x:c r="A23" s="9" t="str">
        <x:v>S018</x:v>
      </x:c>
      <x:c r="B23" s="24" t="str">
        <x:v>artifacts/optimizer_discovery/investigation16/benchmark/b2/raw/central/16203_00.json</x:v>
      </x:c>
      <x:c r="C23" s="24" t="str">
        <x:v>metrics.auc, metrics.final_regret</x:v>
      </x:c>
      <x:c r="D23" s="9" t="str">
        <x:v>4de585f9cc4305b87bf3cbc7fcd5a9fe4e47d6abde79b2976c630bc8a3a5937f</x:v>
      </x:c>
      <x:c r="E23" s="9" t="str">
        <x:v>SHA-256 des octets</x:v>
      </x:c>
      <x:c r="F23" s="24" t="str">
        <x:v>Paire B2 central/16203_00, variant</x:v>
      </x:c>
    </x:row>
    <x:row r="24" ht="43" customHeight="1">
      <x:c r="A24" s="5" t="str">
        <x:v>S019</x:v>
      </x:c>
      <x:c r="B24" s="23" t="str">
        <x:v>artifacts/optimizer_discovery/investigation16/benchmark/raw/central/seed/16204_00.json</x:v>
      </x:c>
      <x:c r="C24" s="23" t="str">
        <x:v>metrics.auc, metrics.final_regret</x:v>
      </x:c>
      <x:c r="D24" s="5" t="str">
        <x:v>c2aa26e0c7b22faea64b4db2a55fbc3690c64bf99e440db967f69f38913e7131</x:v>
      </x:c>
      <x:c r="E24" s="5" t="str">
        <x:v>SHA-256 des octets</x:v>
      </x:c>
      <x:c r="F24" s="23" t="str">
        <x:v>Paire B2 central/16204_00, seed</x:v>
      </x:c>
    </x:row>
    <x:row r="25" ht="43" customHeight="1">
      <x:c r="A25" s="9" t="str">
        <x:v>S020</x:v>
      </x:c>
      <x:c r="B25" s="24" t="str">
        <x:v>artifacts/optimizer_discovery/investigation16/benchmark/b2/raw/central/16204_00.json</x:v>
      </x:c>
      <x:c r="C25" s="24" t="str">
        <x:v>metrics.auc, metrics.final_regret</x:v>
      </x:c>
      <x:c r="D25" s="9" t="str">
        <x:v>a8d9d89b010e299b4eab7f9767d2a1706e5cf753d94472c0b8f1fd1e6c973aaa</x:v>
      </x:c>
      <x:c r="E25" s="9" t="str">
        <x:v>SHA-256 des octets</x:v>
      </x:c>
      <x:c r="F25" s="24" t="str">
        <x:v>Paire B2 central/16204_00, variant</x:v>
      </x:c>
    </x:row>
    <x:row r="26" ht="43" customHeight="1">
      <x:c r="A26" s="5" t="str">
        <x:v>S021</x:v>
      </x:c>
      <x:c r="B26" s="23" t="str">
        <x:v>artifacts/optimizer_discovery/investigation16/benchmark/raw/broad/seed/16201_00.json</x:v>
      </x:c>
      <x:c r="C26" s="23" t="str">
        <x:v>metrics.auc, metrics.final_regret</x:v>
      </x:c>
      <x:c r="D26" s="5" t="str">
        <x:v>b6048f348e3ec2840a4c8ba1904193a181ea46a748cec1b2ae060597755e1a4a</x:v>
      </x:c>
      <x:c r="E26" s="5" t="str">
        <x:v>SHA-256 des octets</x:v>
      </x:c>
      <x:c r="F26" s="23" t="str">
        <x:v>Paire B2 broad/16201_00, seed</x:v>
      </x:c>
    </x:row>
    <x:row r="27" ht="43" customHeight="1">
      <x:c r="A27" s="9" t="str">
        <x:v>S022</x:v>
      </x:c>
      <x:c r="B27" s="24" t="str">
        <x:v>artifacts/optimizer_discovery/investigation16/benchmark/b2/raw/broad/16201_00.json</x:v>
      </x:c>
      <x:c r="C27" s="24" t="str">
        <x:v>metrics.auc, metrics.final_regret</x:v>
      </x:c>
      <x:c r="D27" s="9" t="str">
        <x:v>aba483945363e2a998f69cc0c91ddcda9d03f0dbf91a19b424a5749ed264be56</x:v>
      </x:c>
      <x:c r="E27" s="9" t="str">
        <x:v>SHA-256 des octets</x:v>
      </x:c>
      <x:c r="F27" s="24" t="str">
        <x:v>Paire B2 broad/16201_00, variant</x:v>
      </x:c>
    </x:row>
    <x:row r="28" ht="43" customHeight="1">
      <x:c r="A28" s="5" t="str">
        <x:v>S023</x:v>
      </x:c>
      <x:c r="B28" s="23" t="str">
        <x:v>artifacts/optimizer_discovery/investigation16/benchmark/raw/broad/seed/16202_00.json</x:v>
      </x:c>
      <x:c r="C28" s="23" t="str">
        <x:v>metrics.auc, metrics.final_regret</x:v>
      </x:c>
      <x:c r="D28" s="5" t="str">
        <x:v>e5276eff05f6a13762748da4c4d521d9e36e9a9ed10f2054d4004074327324d8</x:v>
      </x:c>
      <x:c r="E28" s="5" t="str">
        <x:v>SHA-256 des octets</x:v>
      </x:c>
      <x:c r="F28" s="23" t="str">
        <x:v>Paire B2 broad/16202_00, seed</x:v>
      </x:c>
    </x:row>
    <x:row r="29" ht="43" customHeight="1">
      <x:c r="A29" s="9" t="str">
        <x:v>S024</x:v>
      </x:c>
      <x:c r="B29" s="24" t="str">
        <x:v>artifacts/optimizer_discovery/investigation16/benchmark/b2/raw/broad/16202_00.json</x:v>
      </x:c>
      <x:c r="C29" s="24" t="str">
        <x:v>metrics.auc, metrics.final_regret</x:v>
      </x:c>
      <x:c r="D29" s="9" t="str">
        <x:v>4f5b470ca02302af30b263e16f610c6467a75703ffc8ce35c28a64d8c2fce80d</x:v>
      </x:c>
      <x:c r="E29" s="9" t="str">
        <x:v>SHA-256 des octets</x:v>
      </x:c>
      <x:c r="F29" s="24" t="str">
        <x:v>Paire B2 broad/16202_00, variant</x:v>
      </x:c>
    </x:row>
    <x:row r="30" ht="43" customHeight="1">
      <x:c r="A30" s="5" t="str">
        <x:v>S025</x:v>
      </x:c>
      <x:c r="B30" s="23" t="str">
        <x:v>artifacts/optimizer_discovery/investigation16/benchmark/raw/broad/seed/16203_00.json</x:v>
      </x:c>
      <x:c r="C30" s="23" t="str">
        <x:v>metrics.auc, metrics.final_regret</x:v>
      </x:c>
      <x:c r="D30" s="5" t="str">
        <x:v>6aee4168a79e5987c2014a42e49809b6a61a3e75e5ed3a885f76f4fe750014ed</x:v>
      </x:c>
      <x:c r="E30" s="5" t="str">
        <x:v>SHA-256 des octets</x:v>
      </x:c>
      <x:c r="F30" s="23" t="str">
        <x:v>Paire B2 broad/16203_00, seed</x:v>
      </x:c>
    </x:row>
    <x:row r="31" ht="43" customHeight="1">
      <x:c r="A31" s="9" t="str">
        <x:v>S026</x:v>
      </x:c>
      <x:c r="B31" s="24" t="str">
        <x:v>artifacts/optimizer_discovery/investigation16/benchmark/b2/raw/broad/16203_00.json</x:v>
      </x:c>
      <x:c r="C31" s="24" t="str">
        <x:v>metrics.auc, metrics.final_regret</x:v>
      </x:c>
      <x:c r="D31" s="9" t="str">
        <x:v>499c45385068dc3d7c89ea1767edaa91feb67e0d0a431f35c1e2156e6cdda3a5</x:v>
      </x:c>
      <x:c r="E31" s="9" t="str">
        <x:v>SHA-256 des octets</x:v>
      </x:c>
      <x:c r="F31" s="24" t="str">
        <x:v>Paire B2 broad/16203_00, variant</x:v>
      </x:c>
    </x:row>
    <x:row r="32" ht="43" customHeight="1">
      <x:c r="A32" s="5" t="str">
        <x:v>S027</x:v>
      </x:c>
      <x:c r="B32" s="23" t="str">
        <x:v>artifacts/optimizer_discovery/investigation16/benchmark/raw/broad/seed/16204_00.json</x:v>
      </x:c>
      <x:c r="C32" s="23" t="str">
        <x:v>metrics.auc, metrics.final_regret</x:v>
      </x:c>
      <x:c r="D32" s="5" t="str">
        <x:v>393f13cb8ee38408bc994c8088ab1fa95e2ce584a0e842089d5ede0002639a58</x:v>
      </x:c>
      <x:c r="E32" s="5" t="str">
        <x:v>SHA-256 des octets</x:v>
      </x:c>
      <x:c r="F32" s="23" t="str">
        <x:v>Paire B2 broad/16204_00, seed</x:v>
      </x:c>
    </x:row>
    <x:row r="33" ht="43" customHeight="1">
      <x:c r="A33" s="9" t="str">
        <x:v>S028</x:v>
      </x:c>
      <x:c r="B33" s="24" t="str">
        <x:v>artifacts/optimizer_discovery/investigation16/benchmark/b2/raw/broad/16204_00.json</x:v>
      </x:c>
      <x:c r="C33" s="24" t="str">
        <x:v>metrics.auc, metrics.final_regret</x:v>
      </x:c>
      <x:c r="D33" s="9" t="str">
        <x:v>634469f40d53a316fa21ada22d426c36f3b096985ec0c8ad917c5641e99f8251</x:v>
      </x:c>
      <x:c r="E33" s="9" t="str">
        <x:v>SHA-256 des octets</x:v>
      </x:c>
      <x:c r="F33" s="24" t="str">
        <x:v>Paire B2 broad/16204_00, variant</x:v>
      </x:c>
    </x:row>
    <x:row r="34" ht="43" customHeight="1">
      <x:c r="A34" s="5" t="str">
        <x:v>S029</x:v>
      </x:c>
      <x:c r="B34" s="23" t="str">
        <x:v>artifacts/optimizer_discovery/investigation16/benchmark/raw/central/seed/16201_01.json</x:v>
      </x:c>
      <x:c r="C34" s="23" t="str">
        <x:v>metrics.auc, metrics.final_regret</x:v>
      </x:c>
      <x:c r="D34" s="5" t="str">
        <x:v>eb8c9269c6f2dd61c26fba6e7e0f128363571ec533a551e14f6a2da6e3a2ffd9</x:v>
      </x:c>
      <x:c r="E34" s="5" t="str">
        <x:v>SHA-256 des octets</x:v>
      </x:c>
      <x:c r="F34" s="23" t="str">
        <x:v>Paire B2 central/16201_01, seed</x:v>
      </x:c>
    </x:row>
    <x:row r="35" ht="43" customHeight="1">
      <x:c r="A35" s="9" t="str">
        <x:v>S030</x:v>
      </x:c>
      <x:c r="B35" s="24" t="str">
        <x:v>artifacts/optimizer_discovery/investigation16/benchmark/b2/raw/central/16201_01.json</x:v>
      </x:c>
      <x:c r="C35" s="24" t="str">
        <x:v>metrics.auc, metrics.final_regret</x:v>
      </x:c>
      <x:c r="D35" s="9" t="str">
        <x:v>290042a8a54679a8b05e9a6488b86f6f1022e1d90ca759eced28f047dbb97dc2</x:v>
      </x:c>
      <x:c r="E35" s="9" t="str">
        <x:v>SHA-256 des octets</x:v>
      </x:c>
      <x:c r="F35" s="24" t="str">
        <x:v>Paire B2 central/16201_01, variant</x:v>
      </x:c>
    </x:row>
    <x:row r="36" ht="43" customHeight="1">
      <x:c r="A36" s="5" t="str">
        <x:v>S031</x:v>
      </x:c>
      <x:c r="B36" s="23" t="str">
        <x:v>artifacts/optimizer_discovery/investigation16/benchmark/raw/central/seed/16202_01.json</x:v>
      </x:c>
      <x:c r="C36" s="23" t="str">
        <x:v>metrics.auc, metrics.final_regret</x:v>
      </x:c>
      <x:c r="D36" s="5" t="str">
        <x:v>e2fe1532b975c2781ae3e1620c0ae8530e7fad31753e5da2e33d3138b3533535</x:v>
      </x:c>
      <x:c r="E36" s="5" t="str">
        <x:v>SHA-256 des octets</x:v>
      </x:c>
      <x:c r="F36" s="23" t="str">
        <x:v>Paire B2 central/16202_01, seed</x:v>
      </x:c>
    </x:row>
    <x:row r="37" ht="43" customHeight="1">
      <x:c r="A37" s="9" t="str">
        <x:v>S032</x:v>
      </x:c>
      <x:c r="B37" s="24" t="str">
        <x:v>artifacts/optimizer_discovery/investigation16/benchmark/b2/raw/central/16202_01.json</x:v>
      </x:c>
      <x:c r="C37" s="24" t="str">
        <x:v>metrics.auc, metrics.final_regret</x:v>
      </x:c>
      <x:c r="D37" s="9" t="str">
        <x:v>9dd47f1fdc026094c729709fddc3f3ba505e910248e6f0911c4b2282113eea57</x:v>
      </x:c>
      <x:c r="E37" s="9" t="str">
        <x:v>SHA-256 des octets</x:v>
      </x:c>
      <x:c r="F37" s="24" t="str">
        <x:v>Paire B2 central/16202_01, variant</x:v>
      </x:c>
    </x:row>
    <x:row r="38" ht="43" customHeight="1">
      <x:c r="A38" s="5" t="str">
        <x:v>S033</x:v>
      </x:c>
      <x:c r="B38" s="23" t="str">
        <x:v>artifacts/optimizer_discovery/investigation16/benchmark/raw/central/seed/16203_01.json</x:v>
      </x:c>
      <x:c r="C38" s="23" t="str">
        <x:v>metrics.auc, metrics.final_regret</x:v>
      </x:c>
      <x:c r="D38" s="5" t="str">
        <x:v>6465bd76d9e38e1385a99fdf6201c7e42c5b24b6f8896bc2516d70ddcd9043ab</x:v>
      </x:c>
      <x:c r="E38" s="5" t="str">
        <x:v>SHA-256 des octets</x:v>
      </x:c>
      <x:c r="F38" s="23" t="str">
        <x:v>Paire B2 central/16203_01, seed</x:v>
      </x:c>
    </x:row>
    <x:row r="39" ht="43" customHeight="1">
      <x:c r="A39" s="9" t="str">
        <x:v>S034</x:v>
      </x:c>
      <x:c r="B39" s="24" t="str">
        <x:v>artifacts/optimizer_discovery/investigation16/benchmark/b2/raw/central/16203_01.json</x:v>
      </x:c>
      <x:c r="C39" s="24" t="str">
        <x:v>metrics.auc, metrics.final_regret</x:v>
      </x:c>
      <x:c r="D39" s="9" t="str">
        <x:v>dbc0445f3f99167192098463e76f83353e93f977d9b66f24aed03b32d9559e71</x:v>
      </x:c>
      <x:c r="E39" s="9" t="str">
        <x:v>SHA-256 des octets</x:v>
      </x:c>
      <x:c r="F39" s="24" t="str">
        <x:v>Paire B2 central/16203_01, variant</x:v>
      </x:c>
    </x:row>
    <x:row r="40" ht="43" customHeight="1">
      <x:c r="A40" s="5" t="str">
        <x:v>S035</x:v>
      </x:c>
      <x:c r="B40" s="23" t="str">
        <x:v>artifacts/optimizer_discovery/investigation16/benchmark/raw/central/seed/16204_01.json</x:v>
      </x:c>
      <x:c r="C40" s="23" t="str">
        <x:v>metrics.auc, metrics.final_regret</x:v>
      </x:c>
      <x:c r="D40" s="5" t="str">
        <x:v>f34544a16fad6dbfdfee73db84d3241b3a7a555e8e855a4850f34960ffdf1b76</x:v>
      </x:c>
      <x:c r="E40" s="5" t="str">
        <x:v>SHA-256 des octets</x:v>
      </x:c>
      <x:c r="F40" s="23" t="str">
        <x:v>Paire B2 central/16204_01, seed</x:v>
      </x:c>
    </x:row>
    <x:row r="41" ht="43" customHeight="1">
      <x:c r="A41" s="9" t="str">
        <x:v>S036</x:v>
      </x:c>
      <x:c r="B41" s="24" t="str">
        <x:v>artifacts/optimizer_discovery/investigation16/benchmark/b2/raw/central/16204_01.json</x:v>
      </x:c>
      <x:c r="C41" s="24" t="str">
        <x:v>metrics.auc, metrics.final_regret</x:v>
      </x:c>
      <x:c r="D41" s="9" t="str">
        <x:v>558f8eea5d68d57240e775ed69b32b0290338672ab61c4ba2c64075efaea2316</x:v>
      </x:c>
      <x:c r="E41" s="9" t="str">
        <x:v>SHA-256 des octets</x:v>
      </x:c>
      <x:c r="F41" s="24" t="str">
        <x:v>Paire B2 central/16204_01, variant</x:v>
      </x:c>
    </x:row>
    <x:row r="42" ht="43" customHeight="1">
      <x:c r="A42" s="5" t="str">
        <x:v>S037</x:v>
      </x:c>
      <x:c r="B42" s="23" t="str">
        <x:v>artifacts/optimizer_discovery/investigation16/benchmark/raw/broad/seed/16201_01.json</x:v>
      </x:c>
      <x:c r="C42" s="23" t="str">
        <x:v>metrics.auc, metrics.final_regret</x:v>
      </x:c>
      <x:c r="D42" s="5" t="str">
        <x:v>5930a4ef3e9215d6dd4a690d14f7d22690777f9b0ccb40cd742a6f883aadef70</x:v>
      </x:c>
      <x:c r="E42" s="5" t="str">
        <x:v>SHA-256 des octets</x:v>
      </x:c>
      <x:c r="F42" s="23" t="str">
        <x:v>Paire B2 broad/16201_01, seed</x:v>
      </x:c>
    </x:row>
    <x:row r="43" ht="43" customHeight="1">
      <x:c r="A43" s="9" t="str">
        <x:v>S038</x:v>
      </x:c>
      <x:c r="B43" s="24" t="str">
        <x:v>artifacts/optimizer_discovery/investigation16/benchmark/b2/raw/broad/16201_01.json</x:v>
      </x:c>
      <x:c r="C43" s="24" t="str">
        <x:v>metrics.auc, metrics.final_regret</x:v>
      </x:c>
      <x:c r="D43" s="9" t="str">
        <x:v>cb434d64c9b0b74b5516833e43b5fdad7e7360876b4a5f32694fb5a46fc65fb5</x:v>
      </x:c>
      <x:c r="E43" s="9" t="str">
        <x:v>SHA-256 des octets</x:v>
      </x:c>
      <x:c r="F43" s="24" t="str">
        <x:v>Paire B2 broad/16201_01, variant</x:v>
      </x:c>
    </x:row>
    <x:row r="44" ht="43" customHeight="1">
      <x:c r="A44" s="5" t="str">
        <x:v>S039</x:v>
      </x:c>
      <x:c r="B44" s="23" t="str">
        <x:v>artifacts/optimizer_discovery/investigation16/benchmark/raw/broad/seed/16202_01.json</x:v>
      </x:c>
      <x:c r="C44" s="23" t="str">
        <x:v>metrics.auc, metrics.final_regret</x:v>
      </x:c>
      <x:c r="D44" s="5" t="str">
        <x:v>52cac43634b3bc02b0da978dbdd1354663a29c6ebe542756f4e7ebe0afbf7619</x:v>
      </x:c>
      <x:c r="E44" s="5" t="str">
        <x:v>SHA-256 des octets</x:v>
      </x:c>
      <x:c r="F44" s="23" t="str">
        <x:v>Paire B2 broad/16202_01, seed</x:v>
      </x:c>
    </x:row>
    <x:row r="45" ht="43" customHeight="1">
      <x:c r="A45" s="9" t="str">
        <x:v>S040</x:v>
      </x:c>
      <x:c r="B45" s="24" t="str">
        <x:v>artifacts/optimizer_discovery/investigation16/benchmark/b2/raw/broad/16202_01.json</x:v>
      </x:c>
      <x:c r="C45" s="24" t="str">
        <x:v>metrics.auc, metrics.final_regret</x:v>
      </x:c>
      <x:c r="D45" s="9" t="str">
        <x:v>6cc89a515d55fcebbb9aa71ca3fe45e08b2d9719e3865e33275728d14739c8f6</x:v>
      </x:c>
      <x:c r="E45" s="9" t="str">
        <x:v>SHA-256 des octets</x:v>
      </x:c>
      <x:c r="F45" s="24" t="str">
        <x:v>Paire B2 broad/16202_01, variant</x:v>
      </x:c>
    </x:row>
    <x:row r="46" ht="43" customHeight="1">
      <x:c r="A46" s="5" t="str">
        <x:v>S041</x:v>
      </x:c>
      <x:c r="B46" s="23" t="str">
        <x:v>artifacts/optimizer_discovery/investigation16/benchmark/raw/broad/seed/16203_01.json</x:v>
      </x:c>
      <x:c r="C46" s="23" t="str">
        <x:v>metrics.auc, metrics.final_regret</x:v>
      </x:c>
      <x:c r="D46" s="5" t="str">
        <x:v>d5b6f2fa5817654ee3dbb715337fae4efdfd198b104f4c52af2f801f7ae82f88</x:v>
      </x:c>
      <x:c r="E46" s="5" t="str">
        <x:v>SHA-256 des octets</x:v>
      </x:c>
      <x:c r="F46" s="23" t="str">
        <x:v>Paire B2 broad/16203_01, seed</x:v>
      </x:c>
    </x:row>
    <x:row r="47" ht="43" customHeight="1">
      <x:c r="A47" s="9" t="str">
        <x:v>S042</x:v>
      </x:c>
      <x:c r="B47" s="24" t="str">
        <x:v>artifacts/optimizer_discovery/investigation16/benchmark/b2/raw/broad/16203_01.json</x:v>
      </x:c>
      <x:c r="C47" s="24" t="str">
        <x:v>metrics.auc, metrics.final_regret</x:v>
      </x:c>
      <x:c r="D47" s="9" t="str">
        <x:v>190d483321c7fd14b5396d39eeb959c721ea7778faa91e57de9ca38b342bf928</x:v>
      </x:c>
      <x:c r="E47" s="9" t="str">
        <x:v>SHA-256 des octets</x:v>
      </x:c>
      <x:c r="F47" s="24" t="str">
        <x:v>Paire B2 broad/16203_01, variant</x:v>
      </x:c>
    </x:row>
    <x:row r="48" ht="43" customHeight="1">
      <x:c r="A48" s="5" t="str">
        <x:v>S043</x:v>
      </x:c>
      <x:c r="B48" s="23" t="str">
        <x:v>artifacts/optimizer_discovery/investigation16/benchmark/raw/broad/seed/16204_01.json</x:v>
      </x:c>
      <x:c r="C48" s="23" t="str">
        <x:v>metrics.auc, metrics.final_regret</x:v>
      </x:c>
      <x:c r="D48" s="5" t="str">
        <x:v>53c738b88d80038343af24b06976fdf4a6886635ed45cfe63da3a12de412a882</x:v>
      </x:c>
      <x:c r="E48" s="5" t="str">
        <x:v>SHA-256 des octets</x:v>
      </x:c>
      <x:c r="F48" s="23" t="str">
        <x:v>Paire B2 broad/16204_01, seed</x:v>
      </x:c>
    </x:row>
    <x:row r="49" ht="43" customHeight="1">
      <x:c r="A49" s="9" t="str">
        <x:v>S044</x:v>
      </x:c>
      <x:c r="B49" s="24" t="str">
        <x:v>artifacts/optimizer_discovery/investigation16/benchmark/b2/raw/broad/16204_01.json</x:v>
      </x:c>
      <x:c r="C49" s="24" t="str">
        <x:v>metrics.auc, metrics.final_regret</x:v>
      </x:c>
      <x:c r="D49" s="9" t="str">
        <x:v>1ce806eb2a410e1ed2d8091772566bb9974fdcbdd93fb21a06d571bb69756051</x:v>
      </x:c>
      <x:c r="E49" s="9" t="str">
        <x:v>SHA-256 des octets</x:v>
      </x:c>
      <x:c r="F49" s="24" t="str">
        <x:v>Paire B2 broad/16204_01, variant</x:v>
      </x:c>
    </x:row>
    <x:row r="50" ht="43" customHeight="1">
      <x:c r="A50" s="5" t="str">
        <x:v>S045</x:v>
      </x:c>
      <x:c r="B50" s="23" t="str">
        <x:v>artifacts/optimizer_discovery/investigation16/benchmark/raw/central/seed/16201_02.json</x:v>
      </x:c>
      <x:c r="C50" s="23" t="str">
        <x:v>metrics.auc, metrics.final_regret</x:v>
      </x:c>
      <x:c r="D50" s="5" t="str">
        <x:v>04fb666952eb279613902289ba67731d3198ba19e975c048c9f67eb64413dbe1</x:v>
      </x:c>
      <x:c r="E50" s="5" t="str">
        <x:v>SHA-256 des octets</x:v>
      </x:c>
      <x:c r="F50" s="23" t="str">
        <x:v>Paire B2 central/16201_02, seed</x:v>
      </x:c>
    </x:row>
    <x:row r="51" ht="43" customHeight="1">
      <x:c r="A51" s="9" t="str">
        <x:v>S046</x:v>
      </x:c>
      <x:c r="B51" s="24" t="str">
        <x:v>artifacts/optimizer_discovery/investigation16/benchmark/b2/raw/central/16201_02.json</x:v>
      </x:c>
      <x:c r="C51" s="24" t="str">
        <x:v>metrics.auc, metrics.final_regret</x:v>
      </x:c>
      <x:c r="D51" s="9" t="str">
        <x:v>4c1d5d6a5ff09ff34f39116371e85e653d895fa438ca73de26c8f8db6a50ac0e</x:v>
      </x:c>
      <x:c r="E51" s="9" t="str">
        <x:v>SHA-256 des octets</x:v>
      </x:c>
      <x:c r="F51" s="24" t="str">
        <x:v>Paire B2 central/16201_02, variant</x:v>
      </x:c>
    </x:row>
    <x:row r="52" ht="43" customHeight="1">
      <x:c r="A52" s="5" t="str">
        <x:v>S047</x:v>
      </x:c>
      <x:c r="B52" s="23" t="str">
        <x:v>artifacts/optimizer_discovery/investigation16/benchmark/raw/central/seed/16202_02.json</x:v>
      </x:c>
      <x:c r="C52" s="23" t="str">
        <x:v>metrics.auc, metrics.final_regret</x:v>
      </x:c>
      <x:c r="D52" s="5" t="str">
        <x:v>19dd1c04de8808c180bf943137cd7a58735ca16754ae43ecfade0c414fe8855b</x:v>
      </x:c>
      <x:c r="E52" s="5" t="str">
        <x:v>SHA-256 des octets</x:v>
      </x:c>
      <x:c r="F52" s="23" t="str">
        <x:v>Paire B2 central/16202_02, seed</x:v>
      </x:c>
    </x:row>
    <x:row r="53" ht="43" customHeight="1">
      <x:c r="A53" s="9" t="str">
        <x:v>S048</x:v>
      </x:c>
      <x:c r="B53" s="24" t="str">
        <x:v>artifacts/optimizer_discovery/investigation16/benchmark/b2/raw/central/16202_02.json</x:v>
      </x:c>
      <x:c r="C53" s="24" t="str">
        <x:v>metrics.auc, metrics.final_regret</x:v>
      </x:c>
      <x:c r="D53" s="9" t="str">
        <x:v>ab6466c4b6717291ae935521a7be7a63a61f87045bf4303eb54190681868120d</x:v>
      </x:c>
      <x:c r="E53" s="9" t="str">
        <x:v>SHA-256 des octets</x:v>
      </x:c>
      <x:c r="F53" s="24" t="str">
        <x:v>Paire B2 central/16202_02, variant</x:v>
      </x:c>
    </x:row>
    <x:row r="54" ht="43" customHeight="1">
      <x:c r="A54" s="5" t="str">
        <x:v>S049</x:v>
      </x:c>
      <x:c r="B54" s="23" t="str">
        <x:v>artifacts/optimizer_discovery/investigation16/benchmark/raw/central/seed/16203_02.json</x:v>
      </x:c>
      <x:c r="C54" s="23" t="str">
        <x:v>metrics.auc, metrics.final_regret</x:v>
      </x:c>
      <x:c r="D54" s="5" t="str">
        <x:v>14c478e403667f4ad2603872fd598e6b7571e7a4e62da43f145f1101a62039c3</x:v>
      </x:c>
      <x:c r="E54" s="5" t="str">
        <x:v>SHA-256 des octets</x:v>
      </x:c>
      <x:c r="F54" s="23" t="str">
        <x:v>Paire B2 central/16203_02, seed</x:v>
      </x:c>
    </x:row>
    <x:row r="55" ht="43" customHeight="1">
      <x:c r="A55" s="9" t="str">
        <x:v>S050</x:v>
      </x:c>
      <x:c r="B55" s="24" t="str">
        <x:v>artifacts/optimizer_discovery/investigation16/benchmark/b2/raw/central/16203_02.json</x:v>
      </x:c>
      <x:c r="C55" s="24" t="str">
        <x:v>metrics.auc, metrics.final_regret</x:v>
      </x:c>
      <x:c r="D55" s="9" t="str">
        <x:v>d1884d88cb3fef6f3cc85b6229db4bccdd6216e71638f054928d638ec5200ef1</x:v>
      </x:c>
      <x:c r="E55" s="9" t="str">
        <x:v>SHA-256 des octets</x:v>
      </x:c>
      <x:c r="F55" s="24" t="str">
        <x:v>Paire B2 central/16203_02, variant</x:v>
      </x:c>
    </x:row>
    <x:row r="56" ht="43" customHeight="1">
      <x:c r="A56" s="5" t="str">
        <x:v>S051</x:v>
      </x:c>
      <x:c r="B56" s="23" t="str">
        <x:v>artifacts/optimizer_discovery/investigation16/benchmark/raw/central/seed/16204_02.json</x:v>
      </x:c>
      <x:c r="C56" s="23" t="str">
        <x:v>metrics.auc, metrics.final_regret</x:v>
      </x:c>
      <x:c r="D56" s="5" t="str">
        <x:v>fe5b0fadf92c89963769ed576b86c941778414c4e837cc6d9d73ade881b99919</x:v>
      </x:c>
      <x:c r="E56" s="5" t="str">
        <x:v>SHA-256 des octets</x:v>
      </x:c>
      <x:c r="F56" s="23" t="str">
        <x:v>Paire B2 central/16204_02, seed</x:v>
      </x:c>
    </x:row>
    <x:row r="57" ht="43" customHeight="1">
      <x:c r="A57" s="9" t="str">
        <x:v>S052</x:v>
      </x:c>
      <x:c r="B57" s="24" t="str">
        <x:v>artifacts/optimizer_discovery/investigation16/benchmark/b2/raw/central/16204_02.json</x:v>
      </x:c>
      <x:c r="C57" s="24" t="str">
        <x:v>metrics.auc, metrics.final_regret</x:v>
      </x:c>
      <x:c r="D57" s="9" t="str">
        <x:v>eecdc710bdb1ab6b638f648cd72a91e7a291c9e2999fd45aba1ac46df4efd910</x:v>
      </x:c>
      <x:c r="E57" s="9" t="str">
        <x:v>SHA-256 des octets</x:v>
      </x:c>
      <x:c r="F57" s="24" t="str">
        <x:v>Paire B2 central/16204_02, variant</x:v>
      </x:c>
    </x:row>
    <x:row r="58" ht="43" customHeight="1">
      <x:c r="A58" s="5" t="str">
        <x:v>S053</x:v>
      </x:c>
      <x:c r="B58" s="23" t="str">
        <x:v>artifacts/optimizer_discovery/investigation16/benchmark/raw/broad/seed/16201_02.json</x:v>
      </x:c>
      <x:c r="C58" s="23" t="str">
        <x:v>metrics.auc, metrics.final_regret</x:v>
      </x:c>
      <x:c r="D58" s="5" t="str">
        <x:v>0952ad3ebbe01dc9875e88be77736f295af49a4187197acb208db48e228102f9</x:v>
      </x:c>
      <x:c r="E58" s="5" t="str">
        <x:v>SHA-256 des octets</x:v>
      </x:c>
      <x:c r="F58" s="23" t="str">
        <x:v>Paire B2 broad/16201_02, seed</x:v>
      </x:c>
    </x:row>
    <x:row r="59" ht="43" customHeight="1">
      <x:c r="A59" s="9" t="str">
        <x:v>S054</x:v>
      </x:c>
      <x:c r="B59" s="24" t="str">
        <x:v>artifacts/optimizer_discovery/investigation16/benchmark/b2/raw/broad/16201_02.json</x:v>
      </x:c>
      <x:c r="C59" s="24" t="str">
        <x:v>metrics.auc, metrics.final_regret</x:v>
      </x:c>
      <x:c r="D59" s="9" t="str">
        <x:v>d79c79a777f6000e1a486aa4705db18239b51a17f923142d6f88e1fb0606a1e0</x:v>
      </x:c>
      <x:c r="E59" s="9" t="str">
        <x:v>SHA-256 des octets</x:v>
      </x:c>
      <x:c r="F59" s="24" t="str">
        <x:v>Paire B2 broad/16201_02, variant</x:v>
      </x:c>
    </x:row>
    <x:row r="60" ht="43" customHeight="1">
      <x:c r="A60" s="5" t="str">
        <x:v>S055</x:v>
      </x:c>
      <x:c r="B60" s="23" t="str">
        <x:v>artifacts/optimizer_discovery/investigation16/benchmark/raw/broad/seed/16202_02.json</x:v>
      </x:c>
      <x:c r="C60" s="23" t="str">
        <x:v>metrics.auc, metrics.final_regret</x:v>
      </x:c>
      <x:c r="D60" s="5" t="str">
        <x:v>715fd60e0627f2ce70453e7e42c4faea36ed823c04c16e29c07965d6e279a81a</x:v>
      </x:c>
      <x:c r="E60" s="5" t="str">
        <x:v>SHA-256 des octets</x:v>
      </x:c>
      <x:c r="F60" s="23" t="str">
        <x:v>Paire B2 broad/16202_02, seed</x:v>
      </x:c>
    </x:row>
    <x:row r="61" ht="43" customHeight="1">
      <x:c r="A61" s="9" t="str">
        <x:v>S056</x:v>
      </x:c>
      <x:c r="B61" s="24" t="str">
        <x:v>artifacts/optimizer_discovery/investigation16/benchmark/b2/raw/broad/16202_02.json</x:v>
      </x:c>
      <x:c r="C61" s="24" t="str">
        <x:v>metrics.auc, metrics.final_regret</x:v>
      </x:c>
      <x:c r="D61" s="9" t="str">
        <x:v>9fe39fa15b822862b6d6edfa8f2f5c66620b8285b8958ed72d18bc3b7f26686c</x:v>
      </x:c>
      <x:c r="E61" s="9" t="str">
        <x:v>SHA-256 des octets</x:v>
      </x:c>
      <x:c r="F61" s="24" t="str">
        <x:v>Paire B2 broad/16202_02, variant</x:v>
      </x:c>
    </x:row>
    <x:row r="62" ht="43" customHeight="1">
      <x:c r="A62" s="5" t="str">
        <x:v>S057</x:v>
      </x:c>
      <x:c r="B62" s="23" t="str">
        <x:v>artifacts/optimizer_discovery/investigation16/benchmark/raw/broad/seed/16203_02.json</x:v>
      </x:c>
      <x:c r="C62" s="23" t="str">
        <x:v>metrics.auc, metrics.final_regret</x:v>
      </x:c>
      <x:c r="D62" s="5" t="str">
        <x:v>4f7b49a39418c8b28062e85ccff3eb4dce61154460df492309c4ce24a7c527ff</x:v>
      </x:c>
      <x:c r="E62" s="5" t="str">
        <x:v>SHA-256 des octets</x:v>
      </x:c>
      <x:c r="F62" s="23" t="str">
        <x:v>Paire B2 broad/16203_02, seed</x:v>
      </x:c>
    </x:row>
    <x:row r="63" ht="43" customHeight="1">
      <x:c r="A63" s="9" t="str">
        <x:v>S058</x:v>
      </x:c>
      <x:c r="B63" s="24" t="str">
        <x:v>artifacts/optimizer_discovery/investigation16/benchmark/b2/raw/broad/16203_02.json</x:v>
      </x:c>
      <x:c r="C63" s="24" t="str">
        <x:v>metrics.auc, metrics.final_regret</x:v>
      </x:c>
      <x:c r="D63" s="9" t="str">
        <x:v>213f43710ad0e3ec49936df2bb5cfb4fd3c2e9429147bc24fcbf4cf009f0858c</x:v>
      </x:c>
      <x:c r="E63" s="9" t="str">
        <x:v>SHA-256 des octets</x:v>
      </x:c>
      <x:c r="F63" s="24" t="str">
        <x:v>Paire B2 broad/16203_02, variant</x:v>
      </x:c>
    </x:row>
    <x:row r="64" ht="43" customHeight="1">
      <x:c r="A64" s="5" t="str">
        <x:v>S059</x:v>
      </x:c>
      <x:c r="B64" s="23" t="str">
        <x:v>artifacts/optimizer_discovery/investigation16/benchmark/raw/broad/seed/16204_02.json</x:v>
      </x:c>
      <x:c r="C64" s="23" t="str">
        <x:v>metrics.auc, metrics.final_regret</x:v>
      </x:c>
      <x:c r="D64" s="5" t="str">
        <x:v>6fda45bd0e6b896297debd7d0b914de84b4139018f77a3480c286251f48f3b3e</x:v>
      </x:c>
      <x:c r="E64" s="5" t="str">
        <x:v>SHA-256 des octets</x:v>
      </x:c>
      <x:c r="F64" s="23" t="str">
        <x:v>Paire B2 broad/16204_02, seed</x:v>
      </x:c>
    </x:row>
    <x:row r="65" ht="43" customHeight="1">
      <x:c r="A65" s="9" t="str">
        <x:v>S060</x:v>
      </x:c>
      <x:c r="B65" s="24" t="str">
        <x:v>artifacts/optimizer_discovery/investigation16/benchmark/b2/raw/broad/16204_02.json</x:v>
      </x:c>
      <x:c r="C65" s="24" t="str">
        <x:v>metrics.auc, metrics.final_regret</x:v>
      </x:c>
      <x:c r="D65" s="9" t="str">
        <x:v>6ec72e6b2044cce9c1fbd0e23b80a732af56903aee8d8ed7faf1c1daf445217b</x:v>
      </x:c>
      <x:c r="E65" s="9" t="str">
        <x:v>SHA-256 des octets</x:v>
      </x:c>
      <x:c r="F65" s="24" t="str">
        <x:v>Paire B2 broad/16204_02, variant</x:v>
      </x:c>
    </x:row>
    <x:row r="66" ht="43" customHeight="1">
      <x:c r="A66" s="5" t="str">
        <x:v>S061</x:v>
      </x:c>
      <x:c r="B66" s="23" t="str">
        <x:v>artifacts/optimizer_discovery/investigation16/benchmark/raw/central/seed/16201_03.json</x:v>
      </x:c>
      <x:c r="C66" s="23" t="str">
        <x:v>metrics.auc, metrics.final_regret</x:v>
      </x:c>
      <x:c r="D66" s="5" t="str">
        <x:v>27762501d7c26c1b3257339b5315a278a5019017fc9b23f1be579cdd9211b498</x:v>
      </x:c>
      <x:c r="E66" s="5" t="str">
        <x:v>SHA-256 des octets</x:v>
      </x:c>
      <x:c r="F66" s="23" t="str">
        <x:v>Paire B2 central/16201_03, seed</x:v>
      </x:c>
    </x:row>
    <x:row r="67" ht="43" customHeight="1">
      <x:c r="A67" s="9" t="str">
        <x:v>S062</x:v>
      </x:c>
      <x:c r="B67" s="24" t="str">
        <x:v>artifacts/optimizer_discovery/investigation16/benchmark/b2/raw/central/16201_03.json</x:v>
      </x:c>
      <x:c r="C67" s="24" t="str">
        <x:v>metrics.auc, metrics.final_regret</x:v>
      </x:c>
      <x:c r="D67" s="9" t="str">
        <x:v>dc554952fa7ba2845ca708150ffd939b91426d0bbca3ed7f2e309b5f7048f706</x:v>
      </x:c>
      <x:c r="E67" s="9" t="str">
        <x:v>SHA-256 des octets</x:v>
      </x:c>
      <x:c r="F67" s="24" t="str">
        <x:v>Paire B2 central/16201_03, variant</x:v>
      </x:c>
    </x:row>
    <x:row r="68" ht="43" customHeight="1">
      <x:c r="A68" s="5" t="str">
        <x:v>S063</x:v>
      </x:c>
      <x:c r="B68" s="23" t="str">
        <x:v>artifacts/optimizer_discovery/investigation16/benchmark/raw/central/seed/16202_03.json</x:v>
      </x:c>
      <x:c r="C68" s="23" t="str">
        <x:v>metrics.auc, metrics.final_regret</x:v>
      </x:c>
      <x:c r="D68" s="5" t="str">
        <x:v>ccc5317b539ce24d5615880c2ee22cdb8c591fcaa2891bc556f245f59dbc96fa</x:v>
      </x:c>
      <x:c r="E68" s="5" t="str">
        <x:v>SHA-256 des octets</x:v>
      </x:c>
      <x:c r="F68" s="23" t="str">
        <x:v>Paire B2 central/16202_03, seed</x:v>
      </x:c>
    </x:row>
    <x:row r="69" ht="43" customHeight="1">
      <x:c r="A69" s="9" t="str">
        <x:v>S064</x:v>
      </x:c>
      <x:c r="B69" s="24" t="str">
        <x:v>artifacts/optimizer_discovery/investigation16/benchmark/b2/raw/central/16202_03.json</x:v>
      </x:c>
      <x:c r="C69" s="24" t="str">
        <x:v>metrics.auc, metrics.final_regret</x:v>
      </x:c>
      <x:c r="D69" s="9" t="str">
        <x:v>c0b3bfc23457721b3d3a3df9009503159b962acf64a88d1b8de128921e831274</x:v>
      </x:c>
      <x:c r="E69" s="9" t="str">
        <x:v>SHA-256 des octets</x:v>
      </x:c>
      <x:c r="F69" s="24" t="str">
        <x:v>Paire B2 central/16202_03, variant</x:v>
      </x:c>
    </x:row>
    <x:row r="70" ht="43" customHeight="1">
      <x:c r="A70" s="5" t="str">
        <x:v>S065</x:v>
      </x:c>
      <x:c r="B70" s="23" t="str">
        <x:v>artifacts/optimizer_discovery/investigation16/benchmark/raw/central/seed/16203_03.json</x:v>
      </x:c>
      <x:c r="C70" s="23" t="str">
        <x:v>metrics.auc, metrics.final_regret</x:v>
      </x:c>
      <x:c r="D70" s="5" t="str">
        <x:v>c0a2178597549709bff62b9f1806b5a4e6aad140fc8b6ae9e6c3045a753ada8d</x:v>
      </x:c>
      <x:c r="E70" s="5" t="str">
        <x:v>SHA-256 des octets</x:v>
      </x:c>
      <x:c r="F70" s="23" t="str">
        <x:v>Paire B2 central/16203_03, seed</x:v>
      </x:c>
    </x:row>
    <x:row r="71" ht="43" customHeight="1">
      <x:c r="A71" s="9" t="str">
        <x:v>S066</x:v>
      </x:c>
      <x:c r="B71" s="24" t="str">
        <x:v>artifacts/optimizer_discovery/investigation16/benchmark/b2/raw/central/16203_03.json</x:v>
      </x:c>
      <x:c r="C71" s="24" t="str">
        <x:v>metrics.auc, metrics.final_regret</x:v>
      </x:c>
      <x:c r="D71" s="9" t="str">
        <x:v>cbd9d814f32cd0ee35885189065bb0699b5822dd9a957811ebc24b8da7d61947</x:v>
      </x:c>
      <x:c r="E71" s="9" t="str">
        <x:v>SHA-256 des octets</x:v>
      </x:c>
      <x:c r="F71" s="24" t="str">
        <x:v>Paire B2 central/16203_03, variant</x:v>
      </x:c>
    </x:row>
    <x:row r="72" ht="43" customHeight="1">
      <x:c r="A72" s="5" t="str">
        <x:v>S067</x:v>
      </x:c>
      <x:c r="B72" s="23" t="str">
        <x:v>artifacts/optimizer_discovery/investigation16/benchmark/raw/central/seed/16204_03.json</x:v>
      </x:c>
      <x:c r="C72" s="23" t="str">
        <x:v>metrics.auc, metrics.final_regret</x:v>
      </x:c>
      <x:c r="D72" s="5" t="str">
        <x:v>a96d5f0db525fc813b7b4023d659573a0bc569bf3228c54b1f1c0faead20033d</x:v>
      </x:c>
      <x:c r="E72" s="5" t="str">
        <x:v>SHA-256 des octets</x:v>
      </x:c>
      <x:c r="F72" s="23" t="str">
        <x:v>Paire B2 central/16204_03, seed</x:v>
      </x:c>
    </x:row>
    <x:row r="73" ht="43" customHeight="1">
      <x:c r="A73" s="9" t="str">
        <x:v>S068</x:v>
      </x:c>
      <x:c r="B73" s="24" t="str">
        <x:v>artifacts/optimizer_discovery/investigation16/benchmark/b2/raw/central/16204_03.json</x:v>
      </x:c>
      <x:c r="C73" s="24" t="str">
        <x:v>metrics.auc, metrics.final_regret</x:v>
      </x:c>
      <x:c r="D73" s="9" t="str">
        <x:v>df0f1759bfeee325e702b2e4cd4b829d0f4ea29a17680d5f21091c2e22096f4b</x:v>
      </x:c>
      <x:c r="E73" s="9" t="str">
        <x:v>SHA-256 des octets</x:v>
      </x:c>
      <x:c r="F73" s="24" t="str">
        <x:v>Paire B2 central/16204_03, variant</x:v>
      </x:c>
    </x:row>
    <x:row r="74" ht="43" customHeight="1">
      <x:c r="A74" s="5" t="str">
        <x:v>S069</x:v>
      </x:c>
      <x:c r="B74" s="23" t="str">
        <x:v>artifacts/optimizer_discovery/investigation16/benchmark/raw/broad/seed/16201_03.json</x:v>
      </x:c>
      <x:c r="C74" s="23" t="str">
        <x:v>metrics.auc, metrics.final_regret</x:v>
      </x:c>
      <x:c r="D74" s="5" t="str">
        <x:v>0ffc256875eada681472bc13f2a56ad49fe422bf31557d1f880249ce64a50ced</x:v>
      </x:c>
      <x:c r="E74" s="5" t="str">
        <x:v>SHA-256 des octets</x:v>
      </x:c>
      <x:c r="F74" s="23" t="str">
        <x:v>Paire B2 broad/16201_03, seed</x:v>
      </x:c>
    </x:row>
    <x:row r="75" ht="43" customHeight="1">
      <x:c r="A75" s="9" t="str">
        <x:v>S070</x:v>
      </x:c>
      <x:c r="B75" s="24" t="str">
        <x:v>artifacts/optimizer_discovery/investigation16/benchmark/b2/raw/broad/16201_03.json</x:v>
      </x:c>
      <x:c r="C75" s="24" t="str">
        <x:v>metrics.auc, metrics.final_regret</x:v>
      </x:c>
      <x:c r="D75" s="9" t="str">
        <x:v>be41c316c8177eca4efe371e3ff085e640cdd4666d958d2a12c771567591e011</x:v>
      </x:c>
      <x:c r="E75" s="9" t="str">
        <x:v>SHA-256 des octets</x:v>
      </x:c>
      <x:c r="F75" s="24" t="str">
        <x:v>Paire B2 broad/16201_03, variant</x:v>
      </x:c>
    </x:row>
    <x:row r="76" ht="43" customHeight="1">
      <x:c r="A76" s="5" t="str">
        <x:v>S071</x:v>
      </x:c>
      <x:c r="B76" s="23" t="str">
        <x:v>artifacts/optimizer_discovery/investigation16/benchmark/raw/broad/seed/16202_03.json</x:v>
      </x:c>
      <x:c r="C76" s="23" t="str">
        <x:v>metrics.auc, metrics.final_regret</x:v>
      </x:c>
      <x:c r="D76" s="5" t="str">
        <x:v>7b17a0504333ffb245379aeecab000ee22085126698d4f6d736381a9a303bf42</x:v>
      </x:c>
      <x:c r="E76" s="5" t="str">
        <x:v>SHA-256 des octets</x:v>
      </x:c>
      <x:c r="F76" s="23" t="str">
        <x:v>Paire B2 broad/16202_03, seed</x:v>
      </x:c>
    </x:row>
    <x:row r="77" ht="43" customHeight="1">
      <x:c r="A77" s="9" t="str">
        <x:v>S072</x:v>
      </x:c>
      <x:c r="B77" s="24" t="str">
        <x:v>artifacts/optimizer_discovery/investigation16/benchmark/b2/raw/broad/16202_03.json</x:v>
      </x:c>
      <x:c r="C77" s="24" t="str">
        <x:v>metrics.auc, metrics.final_regret</x:v>
      </x:c>
      <x:c r="D77" s="9" t="str">
        <x:v>77b22e6aa4197b62c950d3cc0ec1bf66f7ad71bbf430494a75c2546838f56ccb</x:v>
      </x:c>
      <x:c r="E77" s="9" t="str">
        <x:v>SHA-256 des octets</x:v>
      </x:c>
      <x:c r="F77" s="24" t="str">
        <x:v>Paire B2 broad/16202_03, variant</x:v>
      </x:c>
    </x:row>
    <x:row r="78" ht="43" customHeight="1">
      <x:c r="A78" s="5" t="str">
        <x:v>S073</x:v>
      </x:c>
      <x:c r="B78" s="23" t="str">
        <x:v>artifacts/optimizer_discovery/investigation16/benchmark/raw/broad/seed/16203_03.json</x:v>
      </x:c>
      <x:c r="C78" s="23" t="str">
        <x:v>metrics.auc, metrics.final_regret</x:v>
      </x:c>
      <x:c r="D78" s="5" t="str">
        <x:v>5b4a35a284ee5de424ed537cd77fc96b4ad36b72b7d32a198eca676d654ab81b</x:v>
      </x:c>
      <x:c r="E78" s="5" t="str">
        <x:v>SHA-256 des octets</x:v>
      </x:c>
      <x:c r="F78" s="23" t="str">
        <x:v>Paire B2 broad/16203_03, seed</x:v>
      </x:c>
    </x:row>
    <x:row r="79" ht="43" customHeight="1">
      <x:c r="A79" s="9" t="str">
        <x:v>S074</x:v>
      </x:c>
      <x:c r="B79" s="24" t="str">
        <x:v>artifacts/optimizer_discovery/investigation16/benchmark/b2/raw/broad/16203_03.json</x:v>
      </x:c>
      <x:c r="C79" s="24" t="str">
        <x:v>metrics.auc, metrics.final_regret</x:v>
      </x:c>
      <x:c r="D79" s="9" t="str">
        <x:v>eeb2fbc02efb10dd7c17e5d8021f85dbf3c49d614de594c11cd08d20c7a3c431</x:v>
      </x:c>
      <x:c r="E79" s="9" t="str">
        <x:v>SHA-256 des octets</x:v>
      </x:c>
      <x:c r="F79" s="24" t="str">
        <x:v>Paire B2 broad/16203_03, variant</x:v>
      </x:c>
    </x:row>
    <x:row r="80" ht="43" customHeight="1">
      <x:c r="A80" s="5" t="str">
        <x:v>S075</x:v>
      </x:c>
      <x:c r="B80" s="23" t="str">
        <x:v>artifacts/optimizer_discovery/investigation16/benchmark/raw/broad/seed/16204_03.json</x:v>
      </x:c>
      <x:c r="C80" s="23" t="str">
        <x:v>metrics.auc, metrics.final_regret</x:v>
      </x:c>
      <x:c r="D80" s="5" t="str">
        <x:v>43f33938616c688cd2bf9ed5510d16a87a3f6654213bd82039a15f45ccf242f3</x:v>
      </x:c>
      <x:c r="E80" s="5" t="str">
        <x:v>SHA-256 des octets</x:v>
      </x:c>
      <x:c r="F80" s="23" t="str">
        <x:v>Paire B2 broad/16204_03, seed</x:v>
      </x:c>
    </x:row>
    <x:row r="81" ht="43" customHeight="1">
      <x:c r="A81" s="9" t="str">
        <x:v>S076</x:v>
      </x:c>
      <x:c r="B81" s="24" t="str">
        <x:v>artifacts/optimizer_discovery/investigation16/benchmark/b2/raw/broad/16204_03.json</x:v>
      </x:c>
      <x:c r="C81" s="24" t="str">
        <x:v>metrics.auc, metrics.final_regret</x:v>
      </x:c>
      <x:c r="D81" s="9" t="str">
        <x:v>84be60af11a24b480fef9fd27c44411ec23d225c6bdf4285de8392634bbfee4c</x:v>
      </x:c>
      <x:c r="E81" s="9" t="str">
        <x:v>SHA-256 des octets</x:v>
      </x:c>
      <x:c r="F81" s="24" t="str">
        <x:v>Paire B2 broad/16204_03, variant</x:v>
      </x:c>
    </x:row>
    <x:row r="82" ht="43" customHeight="1">
      <x:c r="A82" s="5" t="str">
        <x:v>S077</x:v>
      </x:c>
      <x:c r="B82" s="23" t="str">
        <x:v>artifacts/optimizer_discovery/investigation16/benchmark/raw/central/seed/16201_04.json</x:v>
      </x:c>
      <x:c r="C82" s="23" t="str">
        <x:v>metrics.auc, metrics.final_regret</x:v>
      </x:c>
      <x:c r="D82" s="5" t="str">
        <x:v>b550119b95eba94af2dab5c3547ec92bb2dc5797c2e89b58c2f140eb17858da6</x:v>
      </x:c>
      <x:c r="E82" s="5" t="str">
        <x:v>SHA-256 des octets</x:v>
      </x:c>
      <x:c r="F82" s="23" t="str">
        <x:v>Paire B2 central/16201_04, seed</x:v>
      </x:c>
    </x:row>
    <x:row r="83" ht="43" customHeight="1">
      <x:c r="A83" s="9" t="str">
        <x:v>S078</x:v>
      </x:c>
      <x:c r="B83" s="24" t="str">
        <x:v>artifacts/optimizer_discovery/investigation16/benchmark/b2/raw/central/16201_04.json</x:v>
      </x:c>
      <x:c r="C83" s="24" t="str">
        <x:v>metrics.auc, metrics.final_regret</x:v>
      </x:c>
      <x:c r="D83" s="9" t="str">
        <x:v>108c19a9eb3c92f9be2fdef7a70789a0f706178c2a30a0b000108989ae78f0d2</x:v>
      </x:c>
      <x:c r="E83" s="9" t="str">
        <x:v>SHA-256 des octets</x:v>
      </x:c>
      <x:c r="F83" s="24" t="str">
        <x:v>Paire B2 central/16201_04, variant</x:v>
      </x:c>
    </x:row>
    <x:row r="84" ht="43" customHeight="1">
      <x:c r="A84" s="5" t="str">
        <x:v>S079</x:v>
      </x:c>
      <x:c r="B84" s="23" t="str">
        <x:v>artifacts/optimizer_discovery/investigation16/benchmark/raw/central/seed/16202_04.json</x:v>
      </x:c>
      <x:c r="C84" s="23" t="str">
        <x:v>metrics.auc, metrics.final_regret</x:v>
      </x:c>
      <x:c r="D84" s="5" t="str">
        <x:v>27e8cf9e624fe98ee30d1bb441f100bfb991e9245d264d8dfcf375a0222cf1a1</x:v>
      </x:c>
      <x:c r="E84" s="5" t="str">
        <x:v>SHA-256 des octets</x:v>
      </x:c>
      <x:c r="F84" s="23" t="str">
        <x:v>Paire B2 central/16202_04, seed</x:v>
      </x:c>
    </x:row>
    <x:row r="85" ht="43" customHeight="1">
      <x:c r="A85" s="9" t="str">
        <x:v>S080</x:v>
      </x:c>
      <x:c r="B85" s="24" t="str">
        <x:v>artifacts/optimizer_discovery/investigation16/benchmark/b2/raw/central/16202_04.json</x:v>
      </x:c>
      <x:c r="C85" s="24" t="str">
        <x:v>metrics.auc, metrics.final_regret</x:v>
      </x:c>
      <x:c r="D85" s="9" t="str">
        <x:v>40f59e7e286a9b96ffd48649a79cd643f0fed07d99872314ab2da5c21699101f</x:v>
      </x:c>
      <x:c r="E85" s="9" t="str">
        <x:v>SHA-256 des octets</x:v>
      </x:c>
      <x:c r="F85" s="24" t="str">
        <x:v>Paire B2 central/16202_04, variant</x:v>
      </x:c>
    </x:row>
    <x:row r="86" ht="43" customHeight="1">
      <x:c r="A86" s="5" t="str">
        <x:v>S081</x:v>
      </x:c>
      <x:c r="B86" s="23" t="str">
        <x:v>artifacts/optimizer_discovery/investigation16/benchmark/raw/central/seed/16203_04.json</x:v>
      </x:c>
      <x:c r="C86" s="23" t="str">
        <x:v>metrics.auc, metrics.final_regret</x:v>
      </x:c>
      <x:c r="D86" s="5" t="str">
        <x:v>eb2b6fe0135c49684c19329073b878d53344e7f79c8f1a874fd83930e087dcb8</x:v>
      </x:c>
      <x:c r="E86" s="5" t="str">
        <x:v>SHA-256 des octets</x:v>
      </x:c>
      <x:c r="F86" s="23" t="str">
        <x:v>Paire B2 central/16203_04, seed</x:v>
      </x:c>
    </x:row>
    <x:row r="87" ht="43" customHeight="1">
      <x:c r="A87" s="9" t="str">
        <x:v>S082</x:v>
      </x:c>
      <x:c r="B87" s="24" t="str">
        <x:v>artifacts/optimizer_discovery/investigation16/benchmark/b2/raw/central/16203_04.json</x:v>
      </x:c>
      <x:c r="C87" s="24" t="str">
        <x:v>metrics.auc, metrics.final_regret</x:v>
      </x:c>
      <x:c r="D87" s="9" t="str">
        <x:v>929655e9053f6555229d81a9366505cca4b5cd22003592d2f9c708da814b6d58</x:v>
      </x:c>
      <x:c r="E87" s="9" t="str">
        <x:v>SHA-256 des octets</x:v>
      </x:c>
      <x:c r="F87" s="24" t="str">
        <x:v>Paire B2 central/16203_04, variant</x:v>
      </x:c>
    </x:row>
    <x:row r="88" ht="43" customHeight="1">
      <x:c r="A88" s="5" t="str">
        <x:v>S083</x:v>
      </x:c>
      <x:c r="B88" s="23" t="str">
        <x:v>artifacts/optimizer_discovery/investigation16/benchmark/raw/central/seed/16204_04.json</x:v>
      </x:c>
      <x:c r="C88" s="23" t="str">
        <x:v>metrics.auc, metrics.final_regret</x:v>
      </x:c>
      <x:c r="D88" s="5" t="str">
        <x:v>a570a233245d2673f848472276c36df1cbaec4ba8a3dcb1f0d3a1a24858fd598</x:v>
      </x:c>
      <x:c r="E88" s="5" t="str">
        <x:v>SHA-256 des octets</x:v>
      </x:c>
      <x:c r="F88" s="23" t="str">
        <x:v>Paire B2 central/16204_04, seed</x:v>
      </x:c>
    </x:row>
    <x:row r="89" ht="43" customHeight="1">
      <x:c r="A89" s="9" t="str">
        <x:v>S084</x:v>
      </x:c>
      <x:c r="B89" s="24" t="str">
        <x:v>artifacts/optimizer_discovery/investigation16/benchmark/b2/raw/central/16204_04.json</x:v>
      </x:c>
      <x:c r="C89" s="24" t="str">
        <x:v>metrics.auc, metrics.final_regret</x:v>
      </x:c>
      <x:c r="D89" s="9" t="str">
        <x:v>93e65b5014f083bb2b0236fbaa8d95579a3cd40182264104d67eb10432b80dc0</x:v>
      </x:c>
      <x:c r="E89" s="9" t="str">
        <x:v>SHA-256 des octets</x:v>
      </x:c>
      <x:c r="F89" s="24" t="str">
        <x:v>Paire B2 central/16204_04, variant</x:v>
      </x:c>
    </x:row>
    <x:row r="90" ht="43" customHeight="1">
      <x:c r="A90" s="5" t="str">
        <x:v>S085</x:v>
      </x:c>
      <x:c r="B90" s="23" t="str">
        <x:v>artifacts/optimizer_discovery/investigation16/benchmark/raw/broad/seed/16201_04.json</x:v>
      </x:c>
      <x:c r="C90" s="23" t="str">
        <x:v>metrics.auc, metrics.final_regret</x:v>
      </x:c>
      <x:c r="D90" s="5" t="str">
        <x:v>1bd7c1d611d56db4212c9abaf8e362c70b496f7b15f3afb63fd6a5714fd6e6d6</x:v>
      </x:c>
      <x:c r="E90" s="5" t="str">
        <x:v>SHA-256 des octets</x:v>
      </x:c>
      <x:c r="F90" s="23" t="str">
        <x:v>Paire B2 broad/16201_04, seed</x:v>
      </x:c>
    </x:row>
    <x:row r="91" ht="43" customHeight="1">
      <x:c r="A91" s="9" t="str">
        <x:v>S086</x:v>
      </x:c>
      <x:c r="B91" s="24" t="str">
        <x:v>artifacts/optimizer_discovery/investigation16/benchmark/b2/raw/broad/16201_04.json</x:v>
      </x:c>
      <x:c r="C91" s="24" t="str">
        <x:v>metrics.auc, metrics.final_regret</x:v>
      </x:c>
      <x:c r="D91" s="9" t="str">
        <x:v>12639bf79ac72b287958220443c06885358e5bde7d066318a28c96154d836032</x:v>
      </x:c>
      <x:c r="E91" s="9" t="str">
        <x:v>SHA-256 des octets</x:v>
      </x:c>
      <x:c r="F91" s="24" t="str">
        <x:v>Paire B2 broad/16201_04, variant</x:v>
      </x:c>
    </x:row>
    <x:row r="92" ht="43" customHeight="1">
      <x:c r="A92" s="5" t="str">
        <x:v>S087</x:v>
      </x:c>
      <x:c r="B92" s="23" t="str">
        <x:v>artifacts/optimizer_discovery/investigation16/benchmark/raw/broad/seed/16202_04.json</x:v>
      </x:c>
      <x:c r="C92" s="23" t="str">
        <x:v>metrics.auc, metrics.final_regret</x:v>
      </x:c>
      <x:c r="D92" s="5" t="str">
        <x:v>d5d7f0be596c153fcb36e1dd166808491ffd4a0f635cecfa56b2f173226c7283</x:v>
      </x:c>
      <x:c r="E92" s="5" t="str">
        <x:v>SHA-256 des octets</x:v>
      </x:c>
      <x:c r="F92" s="23" t="str">
        <x:v>Paire B2 broad/16202_04, seed</x:v>
      </x:c>
    </x:row>
    <x:row r="93" ht="43" customHeight="1">
      <x:c r="A93" s="9" t="str">
        <x:v>S088</x:v>
      </x:c>
      <x:c r="B93" s="24" t="str">
        <x:v>artifacts/optimizer_discovery/investigation16/benchmark/b2/raw/broad/16202_04.json</x:v>
      </x:c>
      <x:c r="C93" s="24" t="str">
        <x:v>metrics.auc, metrics.final_regret</x:v>
      </x:c>
      <x:c r="D93" s="9" t="str">
        <x:v>4ffeca8f226216ce78f8a36e0959dbb68904a25be2be7c77222ba7d6845ba177</x:v>
      </x:c>
      <x:c r="E93" s="9" t="str">
        <x:v>SHA-256 des octets</x:v>
      </x:c>
      <x:c r="F93" s="24" t="str">
        <x:v>Paire B2 broad/16202_04, variant</x:v>
      </x:c>
    </x:row>
    <x:row r="94" ht="43" customHeight="1">
      <x:c r="A94" s="5" t="str">
        <x:v>S089</x:v>
      </x:c>
      <x:c r="B94" s="23" t="str">
        <x:v>artifacts/optimizer_discovery/investigation16/benchmark/raw/broad/seed/16203_04.json</x:v>
      </x:c>
      <x:c r="C94" s="23" t="str">
        <x:v>metrics.auc, metrics.final_regret</x:v>
      </x:c>
      <x:c r="D94" s="5" t="str">
        <x:v>f98b80837dfcfcae75d388a9482757925c77d18e2bf59c91db0f543ebc17ee66</x:v>
      </x:c>
      <x:c r="E94" s="5" t="str">
        <x:v>SHA-256 des octets</x:v>
      </x:c>
      <x:c r="F94" s="23" t="str">
        <x:v>Paire B2 broad/16203_04, seed</x:v>
      </x:c>
    </x:row>
    <x:row r="95" ht="43" customHeight="1">
      <x:c r="A95" s="9" t="str">
        <x:v>S090</x:v>
      </x:c>
      <x:c r="B95" s="24" t="str">
        <x:v>artifacts/optimizer_discovery/investigation16/benchmark/b2/raw/broad/16203_04.json</x:v>
      </x:c>
      <x:c r="C95" s="24" t="str">
        <x:v>metrics.auc, metrics.final_regret</x:v>
      </x:c>
      <x:c r="D95" s="9" t="str">
        <x:v>665083ed793873d81547338a22cd54b0b8837d4029a15ab92ae0bb91ec00758c</x:v>
      </x:c>
      <x:c r="E95" s="9" t="str">
        <x:v>SHA-256 des octets</x:v>
      </x:c>
      <x:c r="F95" s="24" t="str">
        <x:v>Paire B2 broad/16203_04, variant</x:v>
      </x:c>
    </x:row>
    <x:row r="96" ht="43" customHeight="1">
      <x:c r="A96" s="5" t="str">
        <x:v>S091</x:v>
      </x:c>
      <x:c r="B96" s="23" t="str">
        <x:v>artifacts/optimizer_discovery/investigation16/benchmark/raw/broad/seed/16204_04.json</x:v>
      </x:c>
      <x:c r="C96" s="23" t="str">
        <x:v>metrics.auc, metrics.final_regret</x:v>
      </x:c>
      <x:c r="D96" s="5" t="str">
        <x:v>281368d0c56c5498950b5baf0a27bfa6411b9c1f8e3c13e185a6b8c78b2b9b8b</x:v>
      </x:c>
      <x:c r="E96" s="5" t="str">
        <x:v>SHA-256 des octets</x:v>
      </x:c>
      <x:c r="F96" s="23" t="str">
        <x:v>Paire B2 broad/16204_04, seed</x:v>
      </x:c>
    </x:row>
    <x:row r="97" ht="43" customHeight="1">
      <x:c r="A97" s="9" t="str">
        <x:v>S092</x:v>
      </x:c>
      <x:c r="B97" s="24" t="str">
        <x:v>artifacts/optimizer_discovery/investigation16/benchmark/b2/raw/broad/16204_04.json</x:v>
      </x:c>
      <x:c r="C97" s="24" t="str">
        <x:v>metrics.auc, metrics.final_regret</x:v>
      </x:c>
      <x:c r="D97" s="9" t="str">
        <x:v>2839c0f2b657866b63a23d635abf10bec2e0cbcdf149a51f8b3d87b532cd4261</x:v>
      </x:c>
      <x:c r="E97" s="9" t="str">
        <x:v>SHA-256 des octets</x:v>
      </x:c>
      <x:c r="F97" s="24" t="str">
        <x:v>Paire B2 broad/16204_04, variant</x:v>
      </x:c>
    </x:row>
    <x:row r="98" ht="43" customHeight="1">
      <x:c r="A98" s="5" t="str">
        <x:v>S093</x:v>
      </x:c>
      <x:c r="B98" s="23" t="str">
        <x:v>artifacts/optimizer_discovery/investigation16/benchmark/raw/central/seed/16201_05.json</x:v>
      </x:c>
      <x:c r="C98" s="23" t="str">
        <x:v>metrics.auc, metrics.final_regret</x:v>
      </x:c>
      <x:c r="D98" s="5" t="str">
        <x:v>81646519724975ca9d72cc3d869c728a676c231b4fb08642c7b4d46e5c02cd2f</x:v>
      </x:c>
      <x:c r="E98" s="5" t="str">
        <x:v>SHA-256 des octets</x:v>
      </x:c>
      <x:c r="F98" s="23" t="str">
        <x:v>Paire B2 central/16201_05, seed</x:v>
      </x:c>
    </x:row>
    <x:row r="99" ht="43" customHeight="1">
      <x:c r="A99" s="9" t="str">
        <x:v>S094</x:v>
      </x:c>
      <x:c r="B99" s="24" t="str">
        <x:v>artifacts/optimizer_discovery/investigation16/benchmark/b2/raw/central/16201_05.json</x:v>
      </x:c>
      <x:c r="C99" s="24" t="str">
        <x:v>metrics.auc, metrics.final_regret</x:v>
      </x:c>
      <x:c r="D99" s="9" t="str">
        <x:v>9560ccef21e7583bf4b7c0abeaeeb915bffb2efe501c342a582643e620035e82</x:v>
      </x:c>
      <x:c r="E99" s="9" t="str">
        <x:v>SHA-256 des octets</x:v>
      </x:c>
      <x:c r="F99" s="24" t="str">
        <x:v>Paire B2 central/16201_05, variant</x:v>
      </x:c>
    </x:row>
    <x:row r="100" ht="43" customHeight="1">
      <x:c r="A100" s="5" t="str">
        <x:v>S095</x:v>
      </x:c>
      <x:c r="B100" s="23" t="str">
        <x:v>artifacts/optimizer_discovery/investigation16/benchmark/raw/central/seed/16202_05.json</x:v>
      </x:c>
      <x:c r="C100" s="23" t="str">
        <x:v>metrics.auc, metrics.final_regret</x:v>
      </x:c>
      <x:c r="D100" s="5" t="str">
        <x:v>5ce9d86130ed36ac755596b442213cc68557e7add4dc6c276357e6b309dba7d2</x:v>
      </x:c>
      <x:c r="E100" s="5" t="str">
        <x:v>SHA-256 des octets</x:v>
      </x:c>
      <x:c r="F100" s="23" t="str">
        <x:v>Paire B2 central/16202_05, seed</x:v>
      </x:c>
    </x:row>
    <x:row r="101" ht="43" customHeight="1">
      <x:c r="A101" s="9" t="str">
        <x:v>S096</x:v>
      </x:c>
      <x:c r="B101" s="24" t="str">
        <x:v>artifacts/optimizer_discovery/investigation16/benchmark/b2/raw/central/16202_05.json</x:v>
      </x:c>
      <x:c r="C101" s="24" t="str">
        <x:v>metrics.auc, metrics.final_regret</x:v>
      </x:c>
      <x:c r="D101" s="9" t="str">
        <x:v>d2d051bfc3ffc2b44b93f27e9d112c00e172ec1b1c759811a90c875f2ece9cf5</x:v>
      </x:c>
      <x:c r="E101" s="9" t="str">
        <x:v>SHA-256 des octets</x:v>
      </x:c>
      <x:c r="F101" s="24" t="str">
        <x:v>Paire B2 central/16202_05, variant</x:v>
      </x:c>
    </x:row>
    <x:row r="102" ht="43" customHeight="1">
      <x:c r="A102" s="5" t="str">
        <x:v>S097</x:v>
      </x:c>
      <x:c r="B102" s="23" t="str">
        <x:v>artifacts/optimizer_discovery/investigation16/benchmark/raw/central/seed/16203_05.json</x:v>
      </x:c>
      <x:c r="C102" s="23" t="str">
        <x:v>metrics.auc, metrics.final_regret</x:v>
      </x:c>
      <x:c r="D102" s="5" t="str">
        <x:v>d417005fba18a96f486a6a08be79cdb129c2a9a194728346d3f37d46299bc20a</x:v>
      </x:c>
      <x:c r="E102" s="5" t="str">
        <x:v>SHA-256 des octets</x:v>
      </x:c>
      <x:c r="F102" s="23" t="str">
        <x:v>Paire B2 central/16203_05, seed</x:v>
      </x:c>
    </x:row>
    <x:row r="103" ht="43" customHeight="1">
      <x:c r="A103" s="9" t="str">
        <x:v>S098</x:v>
      </x:c>
      <x:c r="B103" s="24" t="str">
        <x:v>artifacts/optimizer_discovery/investigation16/benchmark/b2/raw/central/16203_05.json</x:v>
      </x:c>
      <x:c r="C103" s="24" t="str">
        <x:v>metrics.auc, metrics.final_regret</x:v>
      </x:c>
      <x:c r="D103" s="9" t="str">
        <x:v>99a8d1ae48454b1ef2396e98a098c081166059b8195efbd5cfa75de2be5e5d93</x:v>
      </x:c>
      <x:c r="E103" s="9" t="str">
        <x:v>SHA-256 des octets</x:v>
      </x:c>
      <x:c r="F103" s="24" t="str">
        <x:v>Paire B2 central/16203_05, variant</x:v>
      </x:c>
    </x:row>
    <x:row r="104" ht="43" customHeight="1">
      <x:c r="A104" s="5" t="str">
        <x:v>S099</x:v>
      </x:c>
      <x:c r="B104" s="23" t="str">
        <x:v>artifacts/optimizer_discovery/investigation16/benchmark/raw/central/seed/16204_05.json</x:v>
      </x:c>
      <x:c r="C104" s="23" t="str">
        <x:v>metrics.auc, metrics.final_regret</x:v>
      </x:c>
      <x:c r="D104" s="5" t="str">
        <x:v>a0b9aba7eff641c08be902c4ba858c45a1ae9a5950c83663cf70175d23e8be2c</x:v>
      </x:c>
      <x:c r="E104" s="5" t="str">
        <x:v>SHA-256 des octets</x:v>
      </x:c>
      <x:c r="F104" s="23" t="str">
        <x:v>Paire B2 central/16204_05, seed</x:v>
      </x:c>
    </x:row>
    <x:row r="105" ht="43" customHeight="1">
      <x:c r="A105" s="9" t="str">
        <x:v>S100</x:v>
      </x:c>
      <x:c r="B105" s="24" t="str">
        <x:v>artifacts/optimizer_discovery/investigation16/benchmark/b2/raw/central/16204_05.json</x:v>
      </x:c>
      <x:c r="C105" s="24" t="str">
        <x:v>metrics.auc, metrics.final_regret</x:v>
      </x:c>
      <x:c r="D105" s="9" t="str">
        <x:v>1170a00cbc87ad5faa7447804d34ee879a28c68b66b14900696ef13ea3d5dfc3</x:v>
      </x:c>
      <x:c r="E105" s="9" t="str">
        <x:v>SHA-256 des octets</x:v>
      </x:c>
      <x:c r="F105" s="24" t="str">
        <x:v>Paire B2 central/16204_05, variant</x:v>
      </x:c>
    </x:row>
    <x:row r="106" ht="43" customHeight="1">
      <x:c r="A106" s="5" t="str">
        <x:v>S101</x:v>
      </x:c>
      <x:c r="B106" s="23" t="str">
        <x:v>artifacts/optimizer_discovery/investigation16/benchmark/raw/broad/seed/16201_05.json</x:v>
      </x:c>
      <x:c r="C106" s="23" t="str">
        <x:v>metrics.auc, metrics.final_regret</x:v>
      </x:c>
      <x:c r="D106" s="5" t="str">
        <x:v>fbafa87066d047475080e049c9c9e6592c75be0c7356c9c796533e5d5c598bd8</x:v>
      </x:c>
      <x:c r="E106" s="5" t="str">
        <x:v>SHA-256 des octets</x:v>
      </x:c>
      <x:c r="F106" s="23" t="str">
        <x:v>Paire B2 broad/16201_05, seed</x:v>
      </x:c>
    </x:row>
    <x:row r="107" ht="43" customHeight="1">
      <x:c r="A107" s="9" t="str">
        <x:v>S102</x:v>
      </x:c>
      <x:c r="B107" s="24" t="str">
        <x:v>artifacts/optimizer_discovery/investigation16/benchmark/b2/raw/broad/16201_05.json</x:v>
      </x:c>
      <x:c r="C107" s="24" t="str">
        <x:v>metrics.auc, metrics.final_regret</x:v>
      </x:c>
      <x:c r="D107" s="9" t="str">
        <x:v>064dcba04f589378a9474aa811f5034004a092c3bc5082166b47e7ca9b6c7d73</x:v>
      </x:c>
      <x:c r="E107" s="9" t="str">
        <x:v>SHA-256 des octets</x:v>
      </x:c>
      <x:c r="F107" s="24" t="str">
        <x:v>Paire B2 broad/16201_05, variant</x:v>
      </x:c>
    </x:row>
    <x:row r="108" ht="43" customHeight="1">
      <x:c r="A108" s="5" t="str">
        <x:v>S103</x:v>
      </x:c>
      <x:c r="B108" s="23" t="str">
        <x:v>artifacts/optimizer_discovery/investigation16/benchmark/raw/broad/seed/16202_05.json</x:v>
      </x:c>
      <x:c r="C108" s="23" t="str">
        <x:v>metrics.auc, metrics.final_regret</x:v>
      </x:c>
      <x:c r="D108" s="5" t="str">
        <x:v>899bfdef9fc4073f8b7c0fe84473ac29c204638706499e355c205d10e2e111fd</x:v>
      </x:c>
      <x:c r="E108" s="5" t="str">
        <x:v>SHA-256 des octets</x:v>
      </x:c>
      <x:c r="F108" s="23" t="str">
        <x:v>Paire B2 broad/16202_05, seed</x:v>
      </x:c>
    </x:row>
    <x:row r="109" ht="43" customHeight="1">
      <x:c r="A109" s="9" t="str">
        <x:v>S104</x:v>
      </x:c>
      <x:c r="B109" s="24" t="str">
        <x:v>artifacts/optimizer_discovery/investigation16/benchmark/b2/raw/broad/16202_05.json</x:v>
      </x:c>
      <x:c r="C109" s="24" t="str">
        <x:v>metrics.auc, metrics.final_regret</x:v>
      </x:c>
      <x:c r="D109" s="9" t="str">
        <x:v>5c8ca051ba87238d5bcc117d0c99d44735c27322f741202f1a329ae658dc75ec</x:v>
      </x:c>
      <x:c r="E109" s="9" t="str">
        <x:v>SHA-256 des octets</x:v>
      </x:c>
      <x:c r="F109" s="24" t="str">
        <x:v>Paire B2 broad/16202_05, variant</x:v>
      </x:c>
    </x:row>
    <x:row r="110" ht="43" customHeight="1">
      <x:c r="A110" s="5" t="str">
        <x:v>S105</x:v>
      </x:c>
      <x:c r="B110" s="23" t="str">
        <x:v>artifacts/optimizer_discovery/investigation16/benchmark/raw/broad/seed/16203_05.json</x:v>
      </x:c>
      <x:c r="C110" s="23" t="str">
        <x:v>metrics.auc, metrics.final_regret</x:v>
      </x:c>
      <x:c r="D110" s="5" t="str">
        <x:v>d9227f5d0973151ac40c365ef4aa5d5796e0861f3a08956b0622f9289359b54b</x:v>
      </x:c>
      <x:c r="E110" s="5" t="str">
        <x:v>SHA-256 des octets</x:v>
      </x:c>
      <x:c r="F110" s="23" t="str">
        <x:v>Paire B2 broad/16203_05, seed</x:v>
      </x:c>
    </x:row>
    <x:row r="111" ht="43" customHeight="1">
      <x:c r="A111" s="9" t="str">
        <x:v>S106</x:v>
      </x:c>
      <x:c r="B111" s="24" t="str">
        <x:v>artifacts/optimizer_discovery/investigation16/benchmark/b2/raw/broad/16203_05.json</x:v>
      </x:c>
      <x:c r="C111" s="24" t="str">
        <x:v>metrics.auc, metrics.final_regret</x:v>
      </x:c>
      <x:c r="D111" s="9" t="str">
        <x:v>577782b9bcaf25e6c2abafcb626dbb1ffaf86e2ce0a5ab3cf5cf54b2c5dce95b</x:v>
      </x:c>
      <x:c r="E111" s="9" t="str">
        <x:v>SHA-256 des octets</x:v>
      </x:c>
      <x:c r="F111" s="24" t="str">
        <x:v>Paire B2 broad/16203_05, variant</x:v>
      </x:c>
    </x:row>
    <x:row r="112" ht="43" customHeight="1">
      <x:c r="A112" s="5" t="str">
        <x:v>S107</x:v>
      </x:c>
      <x:c r="B112" s="23" t="str">
        <x:v>artifacts/optimizer_discovery/investigation16/benchmark/raw/broad/seed/16204_05.json</x:v>
      </x:c>
      <x:c r="C112" s="23" t="str">
        <x:v>metrics.auc, metrics.final_regret</x:v>
      </x:c>
      <x:c r="D112" s="5" t="str">
        <x:v>57fb860f936fcc021b1cbf51cdfb8b0a474791dd4a27960b9d863fe37bcbc108</x:v>
      </x:c>
      <x:c r="E112" s="5" t="str">
        <x:v>SHA-256 des octets</x:v>
      </x:c>
      <x:c r="F112" s="23" t="str">
        <x:v>Paire B2 broad/16204_05, seed</x:v>
      </x:c>
    </x:row>
    <x:row r="113" ht="43" customHeight="1">
      <x:c r="A113" s="9" t="str">
        <x:v>S108</x:v>
      </x:c>
      <x:c r="B113" s="24" t="str">
        <x:v>artifacts/optimizer_discovery/investigation16/benchmark/b2/raw/broad/16204_05.json</x:v>
      </x:c>
      <x:c r="C113" s="24" t="str">
        <x:v>metrics.auc, metrics.final_regret</x:v>
      </x:c>
      <x:c r="D113" s="9" t="str">
        <x:v>e97e8ff8849c08c7c605a17d9db4b53d14a89a10979f2520f8919c2bf1a88f07</x:v>
      </x:c>
      <x:c r="E113" s="9" t="str">
        <x:v>SHA-256 des octets</x:v>
      </x:c>
      <x:c r="F113" s="24" t="str">
        <x:v>Paire B2 broad/16204_05, variant</x:v>
      </x:c>
    </x:row>
    <x:row r="114" ht="43" customHeight="1">
      <x:c r="A114" s="5" t="str">
        <x:v>S109</x:v>
      </x:c>
      <x:c r="B114" s="23" t="str">
        <x:v>artifacts/optimizer_discovery/investigation16/benchmark/raw/central/seed/16201_06.json</x:v>
      </x:c>
      <x:c r="C114" s="23" t="str">
        <x:v>metrics.auc, metrics.final_regret</x:v>
      </x:c>
      <x:c r="D114" s="5" t="str">
        <x:v>08ff2a711b22c229220b65af7836b06997b797fc71a9bf9f5bfd178fe2a0e817</x:v>
      </x:c>
      <x:c r="E114" s="5" t="str">
        <x:v>SHA-256 des octets</x:v>
      </x:c>
      <x:c r="F114" s="23" t="str">
        <x:v>Paire B2 central/16201_06, seed</x:v>
      </x:c>
    </x:row>
    <x:row r="115" ht="43" customHeight="1">
      <x:c r="A115" s="9" t="str">
        <x:v>S110</x:v>
      </x:c>
      <x:c r="B115" s="24" t="str">
        <x:v>artifacts/optimizer_discovery/investigation16/benchmark/b2/raw/central/16201_06.json</x:v>
      </x:c>
      <x:c r="C115" s="24" t="str">
        <x:v>metrics.auc, metrics.final_regret</x:v>
      </x:c>
      <x:c r="D115" s="9" t="str">
        <x:v>73f5d1bbe97c741adbaa3746ad4b62b8378fe6d129dfae288526d72b0da6625d</x:v>
      </x:c>
      <x:c r="E115" s="9" t="str">
        <x:v>SHA-256 des octets</x:v>
      </x:c>
      <x:c r="F115" s="24" t="str">
        <x:v>Paire B2 central/16201_06, variant</x:v>
      </x:c>
    </x:row>
    <x:row r="116" ht="43" customHeight="1">
      <x:c r="A116" s="5" t="str">
        <x:v>S111</x:v>
      </x:c>
      <x:c r="B116" s="23" t="str">
        <x:v>artifacts/optimizer_discovery/investigation16/benchmark/raw/central/seed/16202_06.json</x:v>
      </x:c>
      <x:c r="C116" s="23" t="str">
        <x:v>metrics.auc, metrics.final_regret</x:v>
      </x:c>
      <x:c r="D116" s="5" t="str">
        <x:v>38ad6198032a2ea075ba2feab2f4056ecdd8ec1c6e3b567dd797011f6b5d06a2</x:v>
      </x:c>
      <x:c r="E116" s="5" t="str">
        <x:v>SHA-256 des octets</x:v>
      </x:c>
      <x:c r="F116" s="23" t="str">
        <x:v>Paire B2 central/16202_06, seed</x:v>
      </x:c>
    </x:row>
    <x:row r="117" ht="43" customHeight="1">
      <x:c r="A117" s="9" t="str">
        <x:v>S112</x:v>
      </x:c>
      <x:c r="B117" s="24" t="str">
        <x:v>artifacts/optimizer_discovery/investigation16/benchmark/b2/raw/central/16202_06.json</x:v>
      </x:c>
      <x:c r="C117" s="24" t="str">
        <x:v>metrics.auc, metrics.final_regret</x:v>
      </x:c>
      <x:c r="D117" s="9" t="str">
        <x:v>1b6e41abf7b10b192cccb0859ad3c84314a53fbefe4d3480584e5f04dd3e2427</x:v>
      </x:c>
      <x:c r="E117" s="9" t="str">
        <x:v>SHA-256 des octets</x:v>
      </x:c>
      <x:c r="F117" s="24" t="str">
        <x:v>Paire B2 central/16202_06, variant</x:v>
      </x:c>
    </x:row>
    <x:row r="118" ht="43" customHeight="1">
      <x:c r="A118" s="5" t="str">
        <x:v>S113</x:v>
      </x:c>
      <x:c r="B118" s="23" t="str">
        <x:v>artifacts/optimizer_discovery/investigation16/benchmark/raw/central/seed/16203_06.json</x:v>
      </x:c>
      <x:c r="C118" s="23" t="str">
        <x:v>metrics.auc, metrics.final_regret</x:v>
      </x:c>
      <x:c r="D118" s="5" t="str">
        <x:v>3d06ecb59c394dd0bb2ff81e6566d6778f2b9bdec4a9f40ab4eef85484aeecf2</x:v>
      </x:c>
      <x:c r="E118" s="5" t="str">
        <x:v>SHA-256 des octets</x:v>
      </x:c>
      <x:c r="F118" s="23" t="str">
        <x:v>Paire B2 central/16203_06, seed</x:v>
      </x:c>
    </x:row>
    <x:row r="119" ht="43" customHeight="1">
      <x:c r="A119" s="9" t="str">
        <x:v>S114</x:v>
      </x:c>
      <x:c r="B119" s="24" t="str">
        <x:v>artifacts/optimizer_discovery/investigation16/benchmark/b2/raw/central/16203_06.json</x:v>
      </x:c>
      <x:c r="C119" s="24" t="str">
        <x:v>metrics.auc, metrics.final_regret</x:v>
      </x:c>
      <x:c r="D119" s="9" t="str">
        <x:v>a98a57720c67f8028a83cf50f3528167da2a06d4931dbd84ff7c28ce0fa2b60b</x:v>
      </x:c>
      <x:c r="E119" s="9" t="str">
        <x:v>SHA-256 des octets</x:v>
      </x:c>
      <x:c r="F119" s="24" t="str">
        <x:v>Paire B2 central/16203_06, variant</x:v>
      </x:c>
    </x:row>
    <x:row r="120" ht="43" customHeight="1">
      <x:c r="A120" s="5" t="str">
        <x:v>S115</x:v>
      </x:c>
      <x:c r="B120" s="23" t="str">
        <x:v>artifacts/optimizer_discovery/investigation16/benchmark/raw/central/seed/16204_06.json</x:v>
      </x:c>
      <x:c r="C120" s="23" t="str">
        <x:v>metrics.auc, metrics.final_regret</x:v>
      </x:c>
      <x:c r="D120" s="5" t="str">
        <x:v>79e8ebf5865d236c8ccaae0bbe89514f8dac39017c14f27d3a4ae9d3cb909f84</x:v>
      </x:c>
      <x:c r="E120" s="5" t="str">
        <x:v>SHA-256 des octets</x:v>
      </x:c>
      <x:c r="F120" s="23" t="str">
        <x:v>Paire B2 central/16204_06, seed</x:v>
      </x:c>
    </x:row>
    <x:row r="121" ht="43" customHeight="1">
      <x:c r="A121" s="9" t="str">
        <x:v>S116</x:v>
      </x:c>
      <x:c r="B121" s="24" t="str">
        <x:v>artifacts/optimizer_discovery/investigation16/benchmark/b2/raw/central/16204_06.json</x:v>
      </x:c>
      <x:c r="C121" s="24" t="str">
        <x:v>metrics.auc, metrics.final_regret</x:v>
      </x:c>
      <x:c r="D121" s="9" t="str">
        <x:v>d4ed91715b5144e41e61e4de17b9495d167cb44a00cc68615e4fe8c575ab5586</x:v>
      </x:c>
      <x:c r="E121" s="9" t="str">
        <x:v>SHA-256 des octets</x:v>
      </x:c>
      <x:c r="F121" s="24" t="str">
        <x:v>Paire B2 central/16204_06, variant</x:v>
      </x:c>
    </x:row>
    <x:row r="122" ht="43" customHeight="1">
      <x:c r="A122" s="5" t="str">
        <x:v>S117</x:v>
      </x:c>
      <x:c r="B122" s="23" t="str">
        <x:v>artifacts/optimizer_discovery/investigation16/benchmark/raw/broad/seed/16201_06.json</x:v>
      </x:c>
      <x:c r="C122" s="23" t="str">
        <x:v>metrics.auc, metrics.final_regret</x:v>
      </x:c>
      <x:c r="D122" s="5" t="str">
        <x:v>02e5ebbf341035eafee6b6f6eef6f9d2f708f1da32fcec9d524e18075b3f558a</x:v>
      </x:c>
      <x:c r="E122" s="5" t="str">
        <x:v>SHA-256 des octets</x:v>
      </x:c>
      <x:c r="F122" s="23" t="str">
        <x:v>Paire B2 broad/16201_06, seed</x:v>
      </x:c>
    </x:row>
    <x:row r="123" ht="43" customHeight="1">
      <x:c r="A123" s="9" t="str">
        <x:v>S118</x:v>
      </x:c>
      <x:c r="B123" s="24" t="str">
        <x:v>artifacts/optimizer_discovery/investigation16/benchmark/b2/raw/broad/16201_06.json</x:v>
      </x:c>
      <x:c r="C123" s="24" t="str">
        <x:v>metrics.auc, metrics.final_regret</x:v>
      </x:c>
      <x:c r="D123" s="9" t="str">
        <x:v>dfe4616b51397d10c2d81e394f707d5e26fa5865cd8fea668ce9202d10a2efe9</x:v>
      </x:c>
      <x:c r="E123" s="9" t="str">
        <x:v>SHA-256 des octets</x:v>
      </x:c>
      <x:c r="F123" s="24" t="str">
        <x:v>Paire B2 broad/16201_06, variant</x:v>
      </x:c>
    </x:row>
    <x:row r="124" ht="43" customHeight="1">
      <x:c r="A124" s="5" t="str">
        <x:v>S119</x:v>
      </x:c>
      <x:c r="B124" s="23" t="str">
        <x:v>artifacts/optimizer_discovery/investigation16/benchmark/raw/broad/seed/16202_06.json</x:v>
      </x:c>
      <x:c r="C124" s="23" t="str">
        <x:v>metrics.auc, metrics.final_regret</x:v>
      </x:c>
      <x:c r="D124" s="5" t="str">
        <x:v>cec7a2c3a77ae2f57043f71c96ff0902953e83773aa20af5ab83db6b3558a9e1</x:v>
      </x:c>
      <x:c r="E124" s="5" t="str">
        <x:v>SHA-256 des octets</x:v>
      </x:c>
      <x:c r="F124" s="23" t="str">
        <x:v>Paire B2 broad/16202_06, seed</x:v>
      </x:c>
    </x:row>
    <x:row r="125" ht="43" customHeight="1">
      <x:c r="A125" s="9" t="str">
        <x:v>S120</x:v>
      </x:c>
      <x:c r="B125" s="24" t="str">
        <x:v>artifacts/optimizer_discovery/investigation16/benchmark/b2/raw/broad/16202_06.json</x:v>
      </x:c>
      <x:c r="C125" s="24" t="str">
        <x:v>metrics.auc, metrics.final_regret</x:v>
      </x:c>
      <x:c r="D125" s="9" t="str">
        <x:v>c36d4341da01d65666a05c6f65e7b0a0b2bbb47f84a562773fd677305c7f00bf</x:v>
      </x:c>
      <x:c r="E125" s="9" t="str">
        <x:v>SHA-256 des octets</x:v>
      </x:c>
      <x:c r="F125" s="24" t="str">
        <x:v>Paire B2 broad/16202_06, variant</x:v>
      </x:c>
    </x:row>
    <x:row r="126" ht="43" customHeight="1">
      <x:c r="A126" s="5" t="str">
        <x:v>S121</x:v>
      </x:c>
      <x:c r="B126" s="23" t="str">
        <x:v>artifacts/optimizer_discovery/investigation16/benchmark/raw/broad/seed/16203_06.json</x:v>
      </x:c>
      <x:c r="C126" s="23" t="str">
        <x:v>metrics.auc, metrics.final_regret</x:v>
      </x:c>
      <x:c r="D126" s="5" t="str">
        <x:v>adb674cdfb99ab18f53a31441a79636cb69e881a2a541a1577f93d80aa7aae51</x:v>
      </x:c>
      <x:c r="E126" s="5" t="str">
        <x:v>SHA-256 des octets</x:v>
      </x:c>
      <x:c r="F126" s="23" t="str">
        <x:v>Paire B2 broad/16203_06, seed</x:v>
      </x:c>
    </x:row>
    <x:row r="127" ht="43" customHeight="1">
      <x:c r="A127" s="9" t="str">
        <x:v>S122</x:v>
      </x:c>
      <x:c r="B127" s="24" t="str">
        <x:v>artifacts/optimizer_discovery/investigation16/benchmark/b2/raw/broad/16203_06.json</x:v>
      </x:c>
      <x:c r="C127" s="24" t="str">
        <x:v>metrics.auc, metrics.final_regret</x:v>
      </x:c>
      <x:c r="D127" s="9" t="str">
        <x:v>ccc65f3aa7c6914cf09ecb031b93faf2679ad62fb571448e4426d7530a048446</x:v>
      </x:c>
      <x:c r="E127" s="9" t="str">
        <x:v>SHA-256 des octets</x:v>
      </x:c>
      <x:c r="F127" s="24" t="str">
        <x:v>Paire B2 broad/16203_06, variant</x:v>
      </x:c>
    </x:row>
    <x:row r="128" ht="43" customHeight="1">
      <x:c r="A128" s="5" t="str">
        <x:v>S123</x:v>
      </x:c>
      <x:c r="B128" s="23" t="str">
        <x:v>artifacts/optimizer_discovery/investigation16/benchmark/raw/broad/seed/16204_06.json</x:v>
      </x:c>
      <x:c r="C128" s="23" t="str">
        <x:v>metrics.auc, metrics.final_regret</x:v>
      </x:c>
      <x:c r="D128" s="5" t="str">
        <x:v>ad1dad1d4cfcc530f03217382f1a85b6550213c35ee2c9f7d38fbaae3262dc06</x:v>
      </x:c>
      <x:c r="E128" s="5" t="str">
        <x:v>SHA-256 des octets</x:v>
      </x:c>
      <x:c r="F128" s="23" t="str">
        <x:v>Paire B2 broad/16204_06, seed</x:v>
      </x:c>
    </x:row>
    <x:row r="129" ht="43" customHeight="1">
      <x:c r="A129" s="9" t="str">
        <x:v>S124</x:v>
      </x:c>
      <x:c r="B129" s="24" t="str">
        <x:v>artifacts/optimizer_discovery/investigation16/benchmark/b2/raw/broad/16204_06.json</x:v>
      </x:c>
      <x:c r="C129" s="24" t="str">
        <x:v>metrics.auc, metrics.final_regret</x:v>
      </x:c>
      <x:c r="D129" s="9" t="str">
        <x:v>4f88621320244b7170f810871da413722cd0ec7f55d5fb6e3ba145946a363cd0</x:v>
      </x:c>
      <x:c r="E129" s="9" t="str">
        <x:v>SHA-256 des octets</x:v>
      </x:c>
      <x:c r="F129" s="24" t="str">
        <x:v>Paire B2 broad/16204_06, variant</x:v>
      </x:c>
    </x:row>
    <x:row r="130" ht="43" customHeight="1">
      <x:c r="A130" s="5" t="str">
        <x:v>S125</x:v>
      </x:c>
      <x:c r="B130" s="23" t="str">
        <x:v>artifacts/optimizer_discovery/investigation16/benchmark/raw/central/seed/16201_07.json</x:v>
      </x:c>
      <x:c r="C130" s="23" t="str">
        <x:v>metrics.auc, metrics.final_regret</x:v>
      </x:c>
      <x:c r="D130" s="5" t="str">
        <x:v>f5771c2cde0a10a79f90e1b64d905998f2bfe3258b83ffb12ad27fd47da16a05</x:v>
      </x:c>
      <x:c r="E130" s="5" t="str">
        <x:v>SHA-256 des octets</x:v>
      </x:c>
      <x:c r="F130" s="23" t="str">
        <x:v>Paire B2 central/16201_07, seed</x:v>
      </x:c>
    </x:row>
    <x:row r="131" ht="43" customHeight="1">
      <x:c r="A131" s="9" t="str">
        <x:v>S126</x:v>
      </x:c>
      <x:c r="B131" s="24" t="str">
        <x:v>artifacts/optimizer_discovery/investigation16/benchmark/b2/raw/central/16201_07.json</x:v>
      </x:c>
      <x:c r="C131" s="24" t="str">
        <x:v>metrics.auc, metrics.final_regret</x:v>
      </x:c>
      <x:c r="D131" s="9" t="str">
        <x:v>f013b47c0be8639602eea2d4935fe8609f1bb91b9d714bf404aa96deba5116aa</x:v>
      </x:c>
      <x:c r="E131" s="9" t="str">
        <x:v>SHA-256 des octets</x:v>
      </x:c>
      <x:c r="F131" s="24" t="str">
        <x:v>Paire B2 central/16201_07, variant</x:v>
      </x:c>
    </x:row>
    <x:row r="132" ht="43" customHeight="1">
      <x:c r="A132" s="5" t="str">
        <x:v>S127</x:v>
      </x:c>
      <x:c r="B132" s="23" t="str">
        <x:v>artifacts/optimizer_discovery/investigation16/benchmark/raw/central/seed/16202_07.json</x:v>
      </x:c>
      <x:c r="C132" s="23" t="str">
        <x:v>metrics.auc, metrics.final_regret</x:v>
      </x:c>
      <x:c r="D132" s="5" t="str">
        <x:v>b166dcafd0cfc3c440b229d0455ae7f7d792cc63792e26bddf5e3bdde91916dc</x:v>
      </x:c>
      <x:c r="E132" s="5" t="str">
        <x:v>SHA-256 des octets</x:v>
      </x:c>
      <x:c r="F132" s="23" t="str">
        <x:v>Paire B2 central/16202_07, seed</x:v>
      </x:c>
    </x:row>
    <x:row r="133" ht="43" customHeight="1">
      <x:c r="A133" s="9" t="str">
        <x:v>S128</x:v>
      </x:c>
      <x:c r="B133" s="24" t="str">
        <x:v>artifacts/optimizer_discovery/investigation16/benchmark/b2/raw/central/16202_07.json</x:v>
      </x:c>
      <x:c r="C133" s="24" t="str">
        <x:v>metrics.auc, metrics.final_regret</x:v>
      </x:c>
      <x:c r="D133" s="9" t="str">
        <x:v>0ead7670ffeca5b384695771902e74768704f636f8b85aacf5ad33422cc5b13f</x:v>
      </x:c>
      <x:c r="E133" s="9" t="str">
        <x:v>SHA-256 des octets</x:v>
      </x:c>
      <x:c r="F133" s="24" t="str">
        <x:v>Paire B2 central/16202_07, variant</x:v>
      </x:c>
    </x:row>
    <x:row r="134" ht="43" customHeight="1">
      <x:c r="A134" s="5" t="str">
        <x:v>S129</x:v>
      </x:c>
      <x:c r="B134" s="23" t="str">
        <x:v>artifacts/optimizer_discovery/investigation16/benchmark/raw/central/seed/16203_07.json</x:v>
      </x:c>
      <x:c r="C134" s="23" t="str">
        <x:v>metrics.auc, metrics.final_regret</x:v>
      </x:c>
      <x:c r="D134" s="5" t="str">
        <x:v>c4e4e785a013c4f0b3c8723a503361fe0ce1723a5c2b49054119cb8eeab2d09d</x:v>
      </x:c>
      <x:c r="E134" s="5" t="str">
        <x:v>SHA-256 des octets</x:v>
      </x:c>
      <x:c r="F134" s="23" t="str">
        <x:v>Paire B2 central/16203_07, seed</x:v>
      </x:c>
    </x:row>
    <x:row r="135" ht="43" customHeight="1">
      <x:c r="A135" s="9" t="str">
        <x:v>S130</x:v>
      </x:c>
      <x:c r="B135" s="24" t="str">
        <x:v>artifacts/optimizer_discovery/investigation16/benchmark/b2/raw/central/16203_07.json</x:v>
      </x:c>
      <x:c r="C135" s="24" t="str">
        <x:v>metrics.auc, metrics.final_regret</x:v>
      </x:c>
      <x:c r="D135" s="9" t="str">
        <x:v>dce9e044eaefd39790eeead78b7518f7f8e5fe4259894d0685e12d03bc1abfd6</x:v>
      </x:c>
      <x:c r="E135" s="9" t="str">
        <x:v>SHA-256 des octets</x:v>
      </x:c>
      <x:c r="F135" s="24" t="str">
        <x:v>Paire B2 central/16203_07, variant</x:v>
      </x:c>
    </x:row>
    <x:row r="136" ht="43" customHeight="1">
      <x:c r="A136" s="5" t="str">
        <x:v>S131</x:v>
      </x:c>
      <x:c r="B136" s="23" t="str">
        <x:v>artifacts/optimizer_discovery/investigation16/benchmark/raw/central/seed/16204_07.json</x:v>
      </x:c>
      <x:c r="C136" s="23" t="str">
        <x:v>metrics.auc, metrics.final_regret</x:v>
      </x:c>
      <x:c r="D136" s="5" t="str">
        <x:v>e1c809bd3a4fcec604719ff11d38d1c6f1d84cb3d50697316ebdcc98387a09d0</x:v>
      </x:c>
      <x:c r="E136" s="5" t="str">
        <x:v>SHA-256 des octets</x:v>
      </x:c>
      <x:c r="F136" s="23" t="str">
        <x:v>Paire B2 central/16204_07, seed</x:v>
      </x:c>
    </x:row>
    <x:row r="137" ht="43" customHeight="1">
      <x:c r="A137" s="9" t="str">
        <x:v>S132</x:v>
      </x:c>
      <x:c r="B137" s="24" t="str">
        <x:v>artifacts/optimizer_discovery/investigation16/benchmark/b2/raw/central/16204_07.json</x:v>
      </x:c>
      <x:c r="C137" s="24" t="str">
        <x:v>metrics.auc, metrics.final_regret</x:v>
      </x:c>
      <x:c r="D137" s="9" t="str">
        <x:v>a2fd9718b8e7353bd57911aabaab22f9f59fc8fe1c839d9936fb3cb8f98d00c5</x:v>
      </x:c>
      <x:c r="E137" s="9" t="str">
        <x:v>SHA-256 des octets</x:v>
      </x:c>
      <x:c r="F137" s="24" t="str">
        <x:v>Paire B2 central/16204_07, variant</x:v>
      </x:c>
    </x:row>
    <x:row r="138" ht="43" customHeight="1">
      <x:c r="A138" s="5" t="str">
        <x:v>S133</x:v>
      </x:c>
      <x:c r="B138" s="23" t="str">
        <x:v>artifacts/optimizer_discovery/investigation16/benchmark/raw/broad/seed/16201_07.json</x:v>
      </x:c>
      <x:c r="C138" s="23" t="str">
        <x:v>metrics.auc, metrics.final_regret</x:v>
      </x:c>
      <x:c r="D138" s="5" t="str">
        <x:v>7cf3c0776d168fa0c1f9d3a3fb678947b4b5f16d5b1b6dabae9141fb0e6afaa8</x:v>
      </x:c>
      <x:c r="E138" s="5" t="str">
        <x:v>SHA-256 des octets</x:v>
      </x:c>
      <x:c r="F138" s="23" t="str">
        <x:v>Paire B2 broad/16201_07, seed</x:v>
      </x:c>
    </x:row>
    <x:row r="139" ht="43" customHeight="1">
      <x:c r="A139" s="9" t="str">
        <x:v>S134</x:v>
      </x:c>
      <x:c r="B139" s="24" t="str">
        <x:v>artifacts/optimizer_discovery/investigation16/benchmark/b2/raw/broad/16201_07.json</x:v>
      </x:c>
      <x:c r="C139" s="24" t="str">
        <x:v>metrics.auc, metrics.final_regret</x:v>
      </x:c>
      <x:c r="D139" s="9" t="str">
        <x:v>53d32de7c533df654ef7508f68d49bbe51c1547f9021345be6f9df87b9739a2e</x:v>
      </x:c>
      <x:c r="E139" s="9" t="str">
        <x:v>SHA-256 des octets</x:v>
      </x:c>
      <x:c r="F139" s="24" t="str">
        <x:v>Paire B2 broad/16201_07, variant</x:v>
      </x:c>
    </x:row>
    <x:row r="140" ht="43" customHeight="1">
      <x:c r="A140" s="5" t="str">
        <x:v>S135</x:v>
      </x:c>
      <x:c r="B140" s="23" t="str">
        <x:v>artifacts/optimizer_discovery/investigation16/benchmark/raw/broad/seed/16202_07.json</x:v>
      </x:c>
      <x:c r="C140" s="23" t="str">
        <x:v>metrics.auc, metrics.final_regret</x:v>
      </x:c>
      <x:c r="D140" s="5" t="str">
        <x:v>5b79ef2a2d77fdeca94d16a66e300fb05d3b7f14712c5a55322e09b7cb76e592</x:v>
      </x:c>
      <x:c r="E140" s="5" t="str">
        <x:v>SHA-256 des octets</x:v>
      </x:c>
      <x:c r="F140" s="23" t="str">
        <x:v>Paire B2 broad/16202_07, seed</x:v>
      </x:c>
    </x:row>
    <x:row r="141" ht="43" customHeight="1">
      <x:c r="A141" s="9" t="str">
        <x:v>S136</x:v>
      </x:c>
      <x:c r="B141" s="24" t="str">
        <x:v>artifacts/optimizer_discovery/investigation16/benchmark/b2/raw/broad/16202_07.json</x:v>
      </x:c>
      <x:c r="C141" s="24" t="str">
        <x:v>metrics.auc, metrics.final_regret</x:v>
      </x:c>
      <x:c r="D141" s="9" t="str">
        <x:v>f6fe1a5d68c2f825db97462d8515bea182795a891fc4ba428c37e2758cc84f9d</x:v>
      </x:c>
      <x:c r="E141" s="9" t="str">
        <x:v>SHA-256 des octets</x:v>
      </x:c>
      <x:c r="F141" s="24" t="str">
        <x:v>Paire B2 broad/16202_07, variant</x:v>
      </x:c>
    </x:row>
    <x:row r="142" ht="43" customHeight="1">
      <x:c r="A142" s="5" t="str">
        <x:v>S137</x:v>
      </x:c>
      <x:c r="B142" s="23" t="str">
        <x:v>artifacts/optimizer_discovery/investigation16/benchmark/raw/broad/seed/16203_07.json</x:v>
      </x:c>
      <x:c r="C142" s="23" t="str">
        <x:v>metrics.auc, metrics.final_regret</x:v>
      </x:c>
      <x:c r="D142" s="5" t="str">
        <x:v>1c1e0dbf760e8b95db1dfa21eb98b42ea322a513b81974406c80f40696673f1f</x:v>
      </x:c>
      <x:c r="E142" s="5" t="str">
        <x:v>SHA-256 des octets</x:v>
      </x:c>
      <x:c r="F142" s="23" t="str">
        <x:v>Paire B2 broad/16203_07, seed</x:v>
      </x:c>
    </x:row>
    <x:row r="143" ht="43" customHeight="1">
      <x:c r="A143" s="9" t="str">
        <x:v>S138</x:v>
      </x:c>
      <x:c r="B143" s="24" t="str">
        <x:v>artifacts/optimizer_discovery/investigation16/benchmark/b2/raw/broad/16203_07.json</x:v>
      </x:c>
      <x:c r="C143" s="24" t="str">
        <x:v>metrics.auc, metrics.final_regret</x:v>
      </x:c>
      <x:c r="D143" s="9" t="str">
        <x:v>014e4efad3a077d9fa0c9b03d009536373ccceb42c8879612cebe5fbfef83507</x:v>
      </x:c>
      <x:c r="E143" s="9" t="str">
        <x:v>SHA-256 des octets</x:v>
      </x:c>
      <x:c r="F143" s="24" t="str">
        <x:v>Paire B2 broad/16203_07, variant</x:v>
      </x:c>
    </x:row>
    <x:row r="144" ht="43" customHeight="1">
      <x:c r="A144" s="5" t="str">
        <x:v>S139</x:v>
      </x:c>
      <x:c r="B144" s="23" t="str">
        <x:v>artifacts/optimizer_discovery/investigation16/benchmark/raw/broad/seed/16204_07.json</x:v>
      </x:c>
      <x:c r="C144" s="23" t="str">
        <x:v>metrics.auc, metrics.final_regret</x:v>
      </x:c>
      <x:c r="D144" s="5" t="str">
        <x:v>59dbd8a4df269d95ef9da6310ffd9418d456a2c6224ee61d6e8fdb8c658b9ddd</x:v>
      </x:c>
      <x:c r="E144" s="5" t="str">
        <x:v>SHA-256 des octets</x:v>
      </x:c>
      <x:c r="F144" s="23" t="str">
        <x:v>Paire B2 broad/16204_07, seed</x:v>
      </x:c>
    </x:row>
    <x:row r="145" ht="43" customHeight="1">
      <x:c r="A145" s="9" t="str">
        <x:v>S140</x:v>
      </x:c>
      <x:c r="B145" s="24" t="str">
        <x:v>artifacts/optimizer_discovery/investigation16/benchmark/b2/raw/broad/16204_07.json</x:v>
      </x:c>
      <x:c r="C145" s="24" t="str">
        <x:v>metrics.auc, metrics.final_regret</x:v>
      </x:c>
      <x:c r="D145" s="9" t="str">
        <x:v>80ed0e4781933370cc1a167ef2d5fdb426fd4f4a3aab87233d395a134a42f2b4</x:v>
      </x:c>
      <x:c r="E145" s="9" t="str">
        <x:v>SHA-256 des octets</x:v>
      </x:c>
      <x:c r="F145" s="24" t="str">
        <x:v>Paire B2 broad/16204_07, variant</x:v>
      </x:c>
    </x:row>
    <x:row r="146" ht="43" customHeight="1">
      <x:c r="A146" s="5" t="str">
        <x:v>S141</x:v>
      </x:c>
      <x:c r="B146" s="23" t="str">
        <x:v>artifacts/optimizer_discovery/investigation16/benchmark/raw/central/seed/16201_08.json</x:v>
      </x:c>
      <x:c r="C146" s="23" t="str">
        <x:v>metrics.auc, metrics.final_regret</x:v>
      </x:c>
      <x:c r="D146" s="5" t="str">
        <x:v>e1181e455d5cd2ccbba326569a39f5ca8854c6fe436550d4e97f298d0bcbbfec</x:v>
      </x:c>
      <x:c r="E146" s="5" t="str">
        <x:v>SHA-256 des octets</x:v>
      </x:c>
      <x:c r="F146" s="23" t="str">
        <x:v>Paire B2 central/16201_08, seed</x:v>
      </x:c>
    </x:row>
    <x:row r="147" ht="43" customHeight="1">
      <x:c r="A147" s="9" t="str">
        <x:v>S142</x:v>
      </x:c>
      <x:c r="B147" s="24" t="str">
        <x:v>artifacts/optimizer_discovery/investigation16/benchmark/b2/raw/central/16201_08.json</x:v>
      </x:c>
      <x:c r="C147" s="24" t="str">
        <x:v>metrics.auc, metrics.final_regret</x:v>
      </x:c>
      <x:c r="D147" s="9" t="str">
        <x:v>ed51c009453ea043ad15c4c00b69b8a456ef5c5970c6c9ebe16b6cf33f1e549e</x:v>
      </x:c>
      <x:c r="E147" s="9" t="str">
        <x:v>SHA-256 des octets</x:v>
      </x:c>
      <x:c r="F147" s="24" t="str">
        <x:v>Paire B2 central/16201_08, variant</x:v>
      </x:c>
    </x:row>
    <x:row r="148" ht="43" customHeight="1">
      <x:c r="A148" s="5" t="str">
        <x:v>S143</x:v>
      </x:c>
      <x:c r="B148" s="23" t="str">
        <x:v>artifacts/optimizer_discovery/investigation16/benchmark/raw/central/seed/16202_08.json</x:v>
      </x:c>
      <x:c r="C148" s="23" t="str">
        <x:v>metrics.auc, metrics.final_regret</x:v>
      </x:c>
      <x:c r="D148" s="5" t="str">
        <x:v>a35f3809e0f2db77343283e7835edd5a63f14c7677ed4511d4d1d6c33bab3801</x:v>
      </x:c>
      <x:c r="E148" s="5" t="str">
        <x:v>SHA-256 des octets</x:v>
      </x:c>
      <x:c r="F148" s="23" t="str">
        <x:v>Paire B2 central/16202_08, seed</x:v>
      </x:c>
    </x:row>
    <x:row r="149" ht="43" customHeight="1">
      <x:c r="A149" s="9" t="str">
        <x:v>S144</x:v>
      </x:c>
      <x:c r="B149" s="24" t="str">
        <x:v>artifacts/optimizer_discovery/investigation16/benchmark/b2/raw/central/16202_08.json</x:v>
      </x:c>
      <x:c r="C149" s="24" t="str">
        <x:v>metrics.auc, metrics.final_regret</x:v>
      </x:c>
      <x:c r="D149" s="9" t="str">
        <x:v>076df96b141f84e2ad3d65ef91893fbeae935669645ae545b8bb21ee23d8891e</x:v>
      </x:c>
      <x:c r="E149" s="9" t="str">
        <x:v>SHA-256 des octets</x:v>
      </x:c>
      <x:c r="F149" s="24" t="str">
        <x:v>Paire B2 central/16202_08, variant</x:v>
      </x:c>
    </x:row>
    <x:row r="150" ht="43" customHeight="1">
      <x:c r="A150" s="5" t="str">
        <x:v>S145</x:v>
      </x:c>
      <x:c r="B150" s="23" t="str">
        <x:v>artifacts/optimizer_discovery/investigation16/benchmark/raw/central/seed/16203_08.json</x:v>
      </x:c>
      <x:c r="C150" s="23" t="str">
        <x:v>metrics.auc, metrics.final_regret</x:v>
      </x:c>
      <x:c r="D150" s="5" t="str">
        <x:v>5b6976e10d634b28c61b9a547d5dbe9f6ae6c07660a497774020aa12611f5d28</x:v>
      </x:c>
      <x:c r="E150" s="5" t="str">
        <x:v>SHA-256 des octets</x:v>
      </x:c>
      <x:c r="F150" s="23" t="str">
        <x:v>Paire B2 central/16203_08, seed</x:v>
      </x:c>
    </x:row>
    <x:row r="151" ht="43" customHeight="1">
      <x:c r="A151" s="9" t="str">
        <x:v>S146</x:v>
      </x:c>
      <x:c r="B151" s="24" t="str">
        <x:v>artifacts/optimizer_discovery/investigation16/benchmark/b2/raw/central/16203_08.json</x:v>
      </x:c>
      <x:c r="C151" s="24" t="str">
        <x:v>metrics.auc, metrics.final_regret</x:v>
      </x:c>
      <x:c r="D151" s="9" t="str">
        <x:v>e66872b4159365c24ad6bcdad54e8ee942585473815ac15ca1e14b8265787cfc</x:v>
      </x:c>
      <x:c r="E151" s="9" t="str">
        <x:v>SHA-256 des octets</x:v>
      </x:c>
      <x:c r="F151" s="24" t="str">
        <x:v>Paire B2 central/16203_08, variant</x:v>
      </x:c>
    </x:row>
    <x:row r="152" ht="43" customHeight="1">
      <x:c r="A152" s="5" t="str">
        <x:v>S147</x:v>
      </x:c>
      <x:c r="B152" s="23" t="str">
        <x:v>artifacts/optimizer_discovery/investigation16/benchmark/raw/central/seed/16204_08.json</x:v>
      </x:c>
      <x:c r="C152" s="23" t="str">
        <x:v>metrics.auc, metrics.final_regret</x:v>
      </x:c>
      <x:c r="D152" s="5" t="str">
        <x:v>1359719015f81214d3a32435182c4c2e79211b37be0fe94cad9f72e1c954b28b</x:v>
      </x:c>
      <x:c r="E152" s="5" t="str">
        <x:v>SHA-256 des octets</x:v>
      </x:c>
      <x:c r="F152" s="23" t="str">
        <x:v>Paire B2 central/16204_08, seed</x:v>
      </x:c>
    </x:row>
    <x:row r="153" ht="43" customHeight="1">
      <x:c r="A153" s="9" t="str">
        <x:v>S148</x:v>
      </x:c>
      <x:c r="B153" s="24" t="str">
        <x:v>artifacts/optimizer_discovery/investigation16/benchmark/b2/raw/central/16204_08.json</x:v>
      </x:c>
      <x:c r="C153" s="24" t="str">
        <x:v>metrics.auc, metrics.final_regret</x:v>
      </x:c>
      <x:c r="D153" s="9" t="str">
        <x:v>182384ebac7db1e56f484c9e34d9ec194c3bcf375e5bbec4975dd3282d4170f9</x:v>
      </x:c>
      <x:c r="E153" s="9" t="str">
        <x:v>SHA-256 des octets</x:v>
      </x:c>
      <x:c r="F153" s="24" t="str">
        <x:v>Paire B2 central/16204_08, variant</x:v>
      </x:c>
    </x:row>
    <x:row r="154" ht="43" customHeight="1">
      <x:c r="A154" s="5" t="str">
        <x:v>S149</x:v>
      </x:c>
      <x:c r="B154" s="23" t="str">
        <x:v>artifacts/optimizer_discovery/investigation16/benchmark/raw/broad/seed/16201_08.json</x:v>
      </x:c>
      <x:c r="C154" s="23" t="str">
        <x:v>metrics.auc, metrics.final_regret</x:v>
      </x:c>
      <x:c r="D154" s="5" t="str">
        <x:v>25160948aba192954c69f2c0eadad4448be0bc3be730dfe3371acdc578665a4b</x:v>
      </x:c>
      <x:c r="E154" s="5" t="str">
        <x:v>SHA-256 des octets</x:v>
      </x:c>
      <x:c r="F154" s="23" t="str">
        <x:v>Paire B2 broad/16201_08, seed</x:v>
      </x:c>
    </x:row>
    <x:row r="155" ht="43" customHeight="1">
      <x:c r="A155" s="9" t="str">
        <x:v>S150</x:v>
      </x:c>
      <x:c r="B155" s="24" t="str">
        <x:v>artifacts/optimizer_discovery/investigation16/benchmark/b2/raw/broad/16201_08.json</x:v>
      </x:c>
      <x:c r="C155" s="24" t="str">
        <x:v>metrics.auc, metrics.final_regret</x:v>
      </x:c>
      <x:c r="D155" s="9" t="str">
        <x:v>c9960623d3d717dfa32853e4a35f2746fdd516ce57d5eab40f733de0518d3f15</x:v>
      </x:c>
      <x:c r="E155" s="9" t="str">
        <x:v>SHA-256 des octets</x:v>
      </x:c>
      <x:c r="F155" s="24" t="str">
        <x:v>Paire B2 broad/16201_08, variant</x:v>
      </x:c>
    </x:row>
    <x:row r="156" ht="43" customHeight="1">
      <x:c r="A156" s="5" t="str">
        <x:v>S151</x:v>
      </x:c>
      <x:c r="B156" s="23" t="str">
        <x:v>artifacts/optimizer_discovery/investigation16/benchmark/raw/broad/seed/16202_08.json</x:v>
      </x:c>
      <x:c r="C156" s="23" t="str">
        <x:v>metrics.auc, metrics.final_regret</x:v>
      </x:c>
      <x:c r="D156" s="5" t="str">
        <x:v>2eeb6ec9f23b65ea2edc480a87b7a8eca7b263d5acb03336868064c50537e881</x:v>
      </x:c>
      <x:c r="E156" s="5" t="str">
        <x:v>SHA-256 des octets</x:v>
      </x:c>
      <x:c r="F156" s="23" t="str">
        <x:v>Paire B2 broad/16202_08, seed</x:v>
      </x:c>
    </x:row>
    <x:row r="157" ht="43" customHeight="1">
      <x:c r="A157" s="9" t="str">
        <x:v>S152</x:v>
      </x:c>
      <x:c r="B157" s="24" t="str">
        <x:v>artifacts/optimizer_discovery/investigation16/benchmark/b2/raw/broad/16202_08.json</x:v>
      </x:c>
      <x:c r="C157" s="24" t="str">
        <x:v>metrics.auc, metrics.final_regret</x:v>
      </x:c>
      <x:c r="D157" s="9" t="str">
        <x:v>7698a960825acd26bd1e961acfa5c1cd91c97b8d260586ef7c011a85c1ec2b29</x:v>
      </x:c>
      <x:c r="E157" s="9" t="str">
        <x:v>SHA-256 des octets</x:v>
      </x:c>
      <x:c r="F157" s="24" t="str">
        <x:v>Paire B2 broad/16202_08, variant</x:v>
      </x:c>
    </x:row>
    <x:row r="158" ht="43" customHeight="1">
      <x:c r="A158" s="5" t="str">
        <x:v>S153</x:v>
      </x:c>
      <x:c r="B158" s="23" t="str">
        <x:v>artifacts/optimizer_discovery/investigation16/benchmark/raw/broad/seed/16203_08.json</x:v>
      </x:c>
      <x:c r="C158" s="23" t="str">
        <x:v>metrics.auc, metrics.final_regret</x:v>
      </x:c>
      <x:c r="D158" s="5" t="str">
        <x:v>8211526ad4f6191920059f330263359a2fe2064737979f85f20193c8c0028799</x:v>
      </x:c>
      <x:c r="E158" s="5" t="str">
        <x:v>SHA-256 des octets</x:v>
      </x:c>
      <x:c r="F158" s="23" t="str">
        <x:v>Paire B2 broad/16203_08, seed</x:v>
      </x:c>
    </x:row>
    <x:row r="159" ht="43" customHeight="1">
      <x:c r="A159" s="9" t="str">
        <x:v>S154</x:v>
      </x:c>
      <x:c r="B159" s="24" t="str">
        <x:v>artifacts/optimizer_discovery/investigation16/benchmark/b2/raw/broad/16203_08.json</x:v>
      </x:c>
      <x:c r="C159" s="24" t="str">
        <x:v>metrics.auc, metrics.final_regret</x:v>
      </x:c>
      <x:c r="D159" s="9" t="str">
        <x:v>8fc7b68535b2980529e0fb10374251e9e15fdf27fb48c1aa3b46c727ba5dd3d9</x:v>
      </x:c>
      <x:c r="E159" s="9" t="str">
        <x:v>SHA-256 des octets</x:v>
      </x:c>
      <x:c r="F159" s="24" t="str">
        <x:v>Paire B2 broad/16203_08, variant</x:v>
      </x:c>
    </x:row>
    <x:row r="160" ht="43" customHeight="1">
      <x:c r="A160" s="5" t="str">
        <x:v>S155</x:v>
      </x:c>
      <x:c r="B160" s="23" t="str">
        <x:v>artifacts/optimizer_discovery/investigation16/benchmark/raw/broad/seed/16204_08.json</x:v>
      </x:c>
      <x:c r="C160" s="23" t="str">
        <x:v>metrics.auc, metrics.final_regret</x:v>
      </x:c>
      <x:c r="D160" s="5" t="str">
        <x:v>85647c422e9d734900e0e5f68399030fd7363905f37c1e14f7afc0b06723d92a</x:v>
      </x:c>
      <x:c r="E160" s="5" t="str">
        <x:v>SHA-256 des octets</x:v>
      </x:c>
      <x:c r="F160" s="23" t="str">
        <x:v>Paire B2 broad/16204_08, seed</x:v>
      </x:c>
    </x:row>
    <x:row r="161" ht="43" customHeight="1">
      <x:c r="A161" s="9" t="str">
        <x:v>S156</x:v>
      </x:c>
      <x:c r="B161" s="24" t="str">
        <x:v>artifacts/optimizer_discovery/investigation16/benchmark/b2/raw/broad/16204_08.json</x:v>
      </x:c>
      <x:c r="C161" s="24" t="str">
        <x:v>metrics.auc, metrics.final_regret</x:v>
      </x:c>
      <x:c r="D161" s="9" t="str">
        <x:v>6407e2f3c1dac3e00e8201ccc1857c0a09d7a8f7ca95786d56b3f024c72adc0b</x:v>
      </x:c>
      <x:c r="E161" s="9" t="str">
        <x:v>SHA-256 des octets</x:v>
      </x:c>
      <x:c r="F161" s="24" t="str">
        <x:v>Paire B2 broad/16204_08, variant</x:v>
      </x:c>
    </x:row>
    <x:row r="162" ht="43" customHeight="1">
      <x:c r="A162" s="5" t="str">
        <x:v>S157</x:v>
      </x:c>
      <x:c r="B162" s="23" t="str">
        <x:v>artifacts/optimizer_discovery/investigation16/benchmark/raw/central/seed/16201_09.json</x:v>
      </x:c>
      <x:c r="C162" s="23" t="str">
        <x:v>metrics.auc, metrics.final_regret</x:v>
      </x:c>
      <x:c r="D162" s="5" t="str">
        <x:v>268542045032936457772e0261e3999fe61ae7eb9409520fd24fc2e0dad4b4b7</x:v>
      </x:c>
      <x:c r="E162" s="5" t="str">
        <x:v>SHA-256 des octets</x:v>
      </x:c>
      <x:c r="F162" s="23" t="str">
        <x:v>Paire B2 central/16201_09, seed</x:v>
      </x:c>
    </x:row>
    <x:row r="163" ht="43" customHeight="1">
      <x:c r="A163" s="9" t="str">
        <x:v>S158</x:v>
      </x:c>
      <x:c r="B163" s="24" t="str">
        <x:v>artifacts/optimizer_discovery/investigation16/benchmark/b2/raw/central/16201_09.json</x:v>
      </x:c>
      <x:c r="C163" s="24" t="str">
        <x:v>metrics.auc, metrics.final_regret</x:v>
      </x:c>
      <x:c r="D163" s="9" t="str">
        <x:v>6f4aa107e26023bd4fc088c5088b7f6a04d7bbbafb4637e7197cbd93ec3fdc6f</x:v>
      </x:c>
      <x:c r="E163" s="9" t="str">
        <x:v>SHA-256 des octets</x:v>
      </x:c>
      <x:c r="F163" s="24" t="str">
        <x:v>Paire B2 central/16201_09, variant</x:v>
      </x:c>
    </x:row>
    <x:row r="164" ht="43" customHeight="1">
      <x:c r="A164" s="5" t="str">
        <x:v>S159</x:v>
      </x:c>
      <x:c r="B164" s="23" t="str">
        <x:v>artifacts/optimizer_discovery/investigation16/benchmark/raw/central/seed/16202_09.json</x:v>
      </x:c>
      <x:c r="C164" s="23" t="str">
        <x:v>metrics.auc, metrics.final_regret</x:v>
      </x:c>
      <x:c r="D164" s="5" t="str">
        <x:v>7c233245d747e45d8edcb204691c28dd1cafcb995af32441fcb41e2b407090f7</x:v>
      </x:c>
      <x:c r="E164" s="5" t="str">
        <x:v>SHA-256 des octets</x:v>
      </x:c>
      <x:c r="F164" s="23" t="str">
        <x:v>Paire B2 central/16202_09, seed</x:v>
      </x:c>
    </x:row>
    <x:row r="165" ht="43" customHeight="1">
      <x:c r="A165" s="9" t="str">
        <x:v>S160</x:v>
      </x:c>
      <x:c r="B165" s="24" t="str">
        <x:v>artifacts/optimizer_discovery/investigation16/benchmark/b2/raw/central/16202_09.json</x:v>
      </x:c>
      <x:c r="C165" s="24" t="str">
        <x:v>metrics.auc, metrics.final_regret</x:v>
      </x:c>
      <x:c r="D165" s="9" t="str">
        <x:v>764024fec35b5f743846e86dd8f3141032627245bb35d91039c56b40a47cfd02</x:v>
      </x:c>
      <x:c r="E165" s="9" t="str">
        <x:v>SHA-256 des octets</x:v>
      </x:c>
      <x:c r="F165" s="24" t="str">
        <x:v>Paire B2 central/16202_09, variant</x:v>
      </x:c>
    </x:row>
    <x:row r="166" ht="43" customHeight="1">
      <x:c r="A166" s="5" t="str">
        <x:v>S161</x:v>
      </x:c>
      <x:c r="B166" s="23" t="str">
        <x:v>artifacts/optimizer_discovery/investigation16/benchmark/raw/central/seed/16203_09.json</x:v>
      </x:c>
      <x:c r="C166" s="23" t="str">
        <x:v>metrics.auc, metrics.final_regret</x:v>
      </x:c>
      <x:c r="D166" s="5" t="str">
        <x:v>60d16efbde87e03bd4a95b2c536ee631b5d840b4be5a8500a43c24b1bc9c5ed0</x:v>
      </x:c>
      <x:c r="E166" s="5" t="str">
        <x:v>SHA-256 des octets</x:v>
      </x:c>
      <x:c r="F166" s="23" t="str">
        <x:v>Paire B2 central/16203_09, seed</x:v>
      </x:c>
    </x:row>
    <x:row r="167" ht="43" customHeight="1">
      <x:c r="A167" s="9" t="str">
        <x:v>S162</x:v>
      </x:c>
      <x:c r="B167" s="24" t="str">
        <x:v>artifacts/optimizer_discovery/investigation16/benchmark/b2/raw/central/16203_09.json</x:v>
      </x:c>
      <x:c r="C167" s="24" t="str">
        <x:v>metrics.auc, metrics.final_regret</x:v>
      </x:c>
      <x:c r="D167" s="9" t="str">
        <x:v>5f95b17a565ac7ea502585b6c93d61a9e849434a7e1fcf00bddac297fe2d6c07</x:v>
      </x:c>
      <x:c r="E167" s="9" t="str">
        <x:v>SHA-256 des octets</x:v>
      </x:c>
      <x:c r="F167" s="24" t="str">
        <x:v>Paire B2 central/16203_09, variant</x:v>
      </x:c>
    </x:row>
    <x:row r="168" ht="43" customHeight="1">
      <x:c r="A168" s="5" t="str">
        <x:v>S163</x:v>
      </x:c>
      <x:c r="B168" s="23" t="str">
        <x:v>artifacts/optimizer_discovery/investigation16/benchmark/raw/central/seed/16204_09.json</x:v>
      </x:c>
      <x:c r="C168" s="23" t="str">
        <x:v>metrics.auc, metrics.final_regret</x:v>
      </x:c>
      <x:c r="D168" s="5" t="str">
        <x:v>45941eea4073bdf15be09c144057d021cd1777e1daa7687b0baa34e20dea2704</x:v>
      </x:c>
      <x:c r="E168" s="5" t="str">
        <x:v>SHA-256 des octets</x:v>
      </x:c>
      <x:c r="F168" s="23" t="str">
        <x:v>Paire B2 central/16204_09, seed</x:v>
      </x:c>
    </x:row>
    <x:row r="169" ht="43" customHeight="1">
      <x:c r="A169" s="9" t="str">
        <x:v>S164</x:v>
      </x:c>
      <x:c r="B169" s="24" t="str">
        <x:v>artifacts/optimizer_discovery/investigation16/benchmark/b2/raw/central/16204_09.json</x:v>
      </x:c>
      <x:c r="C169" s="24" t="str">
        <x:v>metrics.auc, metrics.final_regret</x:v>
      </x:c>
      <x:c r="D169" s="9" t="str">
        <x:v>c97647a467d04a9b0a90bf7caded524aafef90e351bea1610f0d031646699df7</x:v>
      </x:c>
      <x:c r="E169" s="9" t="str">
        <x:v>SHA-256 des octets</x:v>
      </x:c>
      <x:c r="F169" s="24" t="str">
        <x:v>Paire B2 central/16204_09, variant</x:v>
      </x:c>
    </x:row>
    <x:row r="170" ht="43" customHeight="1">
      <x:c r="A170" s="5" t="str">
        <x:v>S165</x:v>
      </x:c>
      <x:c r="B170" s="23" t="str">
        <x:v>artifacts/optimizer_discovery/investigation16/benchmark/raw/broad/seed/16201_09.json</x:v>
      </x:c>
      <x:c r="C170" s="23" t="str">
        <x:v>metrics.auc, metrics.final_regret</x:v>
      </x:c>
      <x:c r="D170" s="5" t="str">
        <x:v>4d78186446ed0a2a29a4fdc2a88ecfb30bc1cf86f6ee783e3b3894fb02ac2620</x:v>
      </x:c>
      <x:c r="E170" s="5" t="str">
        <x:v>SHA-256 des octets</x:v>
      </x:c>
      <x:c r="F170" s="23" t="str">
        <x:v>Paire B2 broad/16201_09, seed</x:v>
      </x:c>
    </x:row>
    <x:row r="171" ht="43" customHeight="1">
      <x:c r="A171" s="9" t="str">
        <x:v>S166</x:v>
      </x:c>
      <x:c r="B171" s="24" t="str">
        <x:v>artifacts/optimizer_discovery/investigation16/benchmark/b2/raw/broad/16201_09.json</x:v>
      </x:c>
      <x:c r="C171" s="24" t="str">
        <x:v>metrics.auc, metrics.final_regret</x:v>
      </x:c>
      <x:c r="D171" s="9" t="str">
        <x:v>b38fbb4b72812359a0da8126071c845e3a487583855159ee1270b2f3d1ab4576</x:v>
      </x:c>
      <x:c r="E171" s="9" t="str">
        <x:v>SHA-256 des octets</x:v>
      </x:c>
      <x:c r="F171" s="24" t="str">
        <x:v>Paire B2 broad/16201_09, variant</x:v>
      </x:c>
    </x:row>
    <x:row r="172" ht="43" customHeight="1">
      <x:c r="A172" s="5" t="str">
        <x:v>S167</x:v>
      </x:c>
      <x:c r="B172" s="23" t="str">
        <x:v>artifacts/optimizer_discovery/investigation16/benchmark/raw/broad/seed/16202_09.json</x:v>
      </x:c>
      <x:c r="C172" s="23" t="str">
        <x:v>metrics.auc, metrics.final_regret</x:v>
      </x:c>
      <x:c r="D172" s="5" t="str">
        <x:v>a456ace1fe83c801137f01a05fd50d8779e251ec0b91f1c66526633df192f628</x:v>
      </x:c>
      <x:c r="E172" s="5" t="str">
        <x:v>SHA-256 des octets</x:v>
      </x:c>
      <x:c r="F172" s="23" t="str">
        <x:v>Paire B2 broad/16202_09, seed</x:v>
      </x:c>
    </x:row>
    <x:row r="173" ht="43" customHeight="1">
      <x:c r="A173" s="9" t="str">
        <x:v>S168</x:v>
      </x:c>
      <x:c r="B173" s="24" t="str">
        <x:v>artifacts/optimizer_discovery/investigation16/benchmark/b2/raw/broad/16202_09.json</x:v>
      </x:c>
      <x:c r="C173" s="24" t="str">
        <x:v>metrics.auc, metrics.final_regret</x:v>
      </x:c>
      <x:c r="D173" s="9" t="str">
        <x:v>d3b77c604902a435fa0f249be3e93683496e9913abdd197d37bd00e0151ddec4</x:v>
      </x:c>
      <x:c r="E173" s="9" t="str">
        <x:v>SHA-256 des octets</x:v>
      </x:c>
      <x:c r="F173" s="24" t="str">
        <x:v>Paire B2 broad/16202_09, variant</x:v>
      </x:c>
    </x:row>
    <x:row r="174" ht="43" customHeight="1">
      <x:c r="A174" s="5" t="str">
        <x:v>S169</x:v>
      </x:c>
      <x:c r="B174" s="23" t="str">
        <x:v>artifacts/optimizer_discovery/investigation16/benchmark/raw/broad/seed/16203_09.json</x:v>
      </x:c>
      <x:c r="C174" s="23" t="str">
        <x:v>metrics.auc, metrics.final_regret</x:v>
      </x:c>
      <x:c r="D174" s="5" t="str">
        <x:v>6d306e3fb6b0046d1a5f02ceff168c34bab5d55e7394f858ade3036935495f40</x:v>
      </x:c>
      <x:c r="E174" s="5" t="str">
        <x:v>SHA-256 des octets</x:v>
      </x:c>
      <x:c r="F174" s="23" t="str">
        <x:v>Paire B2 broad/16203_09, seed</x:v>
      </x:c>
    </x:row>
    <x:row r="175" ht="43" customHeight="1">
      <x:c r="A175" s="9" t="str">
        <x:v>S170</x:v>
      </x:c>
      <x:c r="B175" s="24" t="str">
        <x:v>artifacts/optimizer_discovery/investigation16/benchmark/b2/raw/broad/16203_09.json</x:v>
      </x:c>
      <x:c r="C175" s="24" t="str">
        <x:v>metrics.auc, metrics.final_regret</x:v>
      </x:c>
      <x:c r="D175" s="9" t="str">
        <x:v>0a6a45ac518e72cade017074dd6e30eee89715466e95ca9bcce9cfffc9b0c14d</x:v>
      </x:c>
      <x:c r="E175" s="9" t="str">
        <x:v>SHA-256 des octets</x:v>
      </x:c>
      <x:c r="F175" s="24" t="str">
        <x:v>Paire B2 broad/16203_09, variant</x:v>
      </x:c>
    </x:row>
    <x:row r="176" ht="43" customHeight="1">
      <x:c r="A176" s="5" t="str">
        <x:v>S171</x:v>
      </x:c>
      <x:c r="B176" s="23" t="str">
        <x:v>artifacts/optimizer_discovery/investigation16/benchmark/raw/broad/seed/16204_09.json</x:v>
      </x:c>
      <x:c r="C176" s="23" t="str">
        <x:v>metrics.auc, metrics.final_regret</x:v>
      </x:c>
      <x:c r="D176" s="5" t="str">
        <x:v>3c6d0eff8067e61bac80a5235d6ed5ef21b01a3ce2ea8258b96bd58f2d5bd487</x:v>
      </x:c>
      <x:c r="E176" s="5" t="str">
        <x:v>SHA-256 des octets</x:v>
      </x:c>
      <x:c r="F176" s="23" t="str">
        <x:v>Paire B2 broad/16204_09, seed</x:v>
      </x:c>
    </x:row>
    <x:row r="177" ht="43" customHeight="1">
      <x:c r="A177" s="9" t="str">
        <x:v>S172</x:v>
      </x:c>
      <x:c r="B177" s="24" t="str">
        <x:v>artifacts/optimizer_discovery/investigation16/benchmark/b2/raw/broad/16204_09.json</x:v>
      </x:c>
      <x:c r="C177" s="24" t="str">
        <x:v>metrics.auc, metrics.final_regret</x:v>
      </x:c>
      <x:c r="D177" s="9" t="str">
        <x:v>07448b9cf2c094eed6c17e1bc16f4923da6d125460e924a4342871e8398db2b2</x:v>
      </x:c>
      <x:c r="E177" s="9" t="str">
        <x:v>SHA-256 des octets</x:v>
      </x:c>
      <x:c r="F177" s="24" t="str">
        <x:v>Paire B2 broad/16204_09, variant</x:v>
      </x:c>
    </x:row>
    <x:row r="178" ht="43" customHeight="1">
      <x:c r="A178" s="5" t="str">
        <x:v>S173</x:v>
      </x:c>
      <x:c r="B178" s="23" t="str">
        <x:v>artifacts/optimizer_discovery/investigation16/benchmark/raw/central/seed/16201_10.json</x:v>
      </x:c>
      <x:c r="C178" s="23" t="str">
        <x:v>metrics.auc, metrics.final_regret</x:v>
      </x:c>
      <x:c r="D178" s="5" t="str">
        <x:v>7b46af630ac81ef60f5cd5fead0f0e001d2e2a3dde67d7b8e580be3da33af1f9</x:v>
      </x:c>
      <x:c r="E178" s="5" t="str">
        <x:v>SHA-256 des octets</x:v>
      </x:c>
      <x:c r="F178" s="23" t="str">
        <x:v>Paire B2 central/16201_10, seed</x:v>
      </x:c>
    </x:row>
    <x:row r="179" ht="43" customHeight="1">
      <x:c r="A179" s="9" t="str">
        <x:v>S174</x:v>
      </x:c>
      <x:c r="B179" s="24" t="str">
        <x:v>artifacts/optimizer_discovery/investigation16/benchmark/b2/raw/central/16201_10.json</x:v>
      </x:c>
      <x:c r="C179" s="24" t="str">
        <x:v>metrics.auc, metrics.final_regret</x:v>
      </x:c>
      <x:c r="D179" s="9" t="str">
        <x:v>79e0efd5a95620138d42ccccd5019951d3778c93ee7ee39cea4f8cf84b2160c0</x:v>
      </x:c>
      <x:c r="E179" s="9" t="str">
        <x:v>SHA-256 des octets</x:v>
      </x:c>
      <x:c r="F179" s="24" t="str">
        <x:v>Paire B2 central/16201_10, variant</x:v>
      </x:c>
    </x:row>
    <x:row r="180" ht="43" customHeight="1">
      <x:c r="A180" s="5" t="str">
        <x:v>S175</x:v>
      </x:c>
      <x:c r="B180" s="23" t="str">
        <x:v>artifacts/optimizer_discovery/investigation16/benchmark/raw/central/seed/16202_10.json</x:v>
      </x:c>
      <x:c r="C180" s="23" t="str">
        <x:v>metrics.auc, metrics.final_regret</x:v>
      </x:c>
      <x:c r="D180" s="5" t="str">
        <x:v>072d6ec490dbd3b7427ded64d5c1ab72b248a510c55f6554110bf8787ed8ed00</x:v>
      </x:c>
      <x:c r="E180" s="5" t="str">
        <x:v>SHA-256 des octets</x:v>
      </x:c>
      <x:c r="F180" s="23" t="str">
        <x:v>Paire B2 central/16202_10, seed</x:v>
      </x:c>
    </x:row>
    <x:row r="181" ht="43" customHeight="1">
      <x:c r="A181" s="9" t="str">
        <x:v>S176</x:v>
      </x:c>
      <x:c r="B181" s="24" t="str">
        <x:v>artifacts/optimizer_discovery/investigation16/benchmark/b2/raw/central/16202_10.json</x:v>
      </x:c>
      <x:c r="C181" s="24" t="str">
        <x:v>metrics.auc, metrics.final_regret</x:v>
      </x:c>
      <x:c r="D181" s="9" t="str">
        <x:v>3f866903f2f270898a99e827e2f800dff5e6d7cbc5d560e4684f835bee466818</x:v>
      </x:c>
      <x:c r="E181" s="9" t="str">
        <x:v>SHA-256 des octets</x:v>
      </x:c>
      <x:c r="F181" s="24" t="str">
        <x:v>Paire B2 central/16202_10, variant</x:v>
      </x:c>
    </x:row>
    <x:row r="182" ht="43" customHeight="1">
      <x:c r="A182" s="5" t="str">
        <x:v>S177</x:v>
      </x:c>
      <x:c r="B182" s="23" t="str">
        <x:v>artifacts/optimizer_discovery/investigation16/benchmark/raw/central/seed/16203_10.json</x:v>
      </x:c>
      <x:c r="C182" s="23" t="str">
        <x:v>metrics.auc, metrics.final_regret</x:v>
      </x:c>
      <x:c r="D182" s="5" t="str">
        <x:v>19a407e8a57f91d5aed89be6fde7da01da49024e2d94f5bd2afb91d34a34f2fe</x:v>
      </x:c>
      <x:c r="E182" s="5" t="str">
        <x:v>SHA-256 des octets</x:v>
      </x:c>
      <x:c r="F182" s="23" t="str">
        <x:v>Paire B2 central/16203_10, seed</x:v>
      </x:c>
    </x:row>
    <x:row r="183" ht="43" customHeight="1">
      <x:c r="A183" s="9" t="str">
        <x:v>S178</x:v>
      </x:c>
      <x:c r="B183" s="24" t="str">
        <x:v>artifacts/optimizer_discovery/investigation16/benchmark/b2/raw/central/16203_10.json</x:v>
      </x:c>
      <x:c r="C183" s="24" t="str">
        <x:v>metrics.auc, metrics.final_regret</x:v>
      </x:c>
      <x:c r="D183" s="9" t="str">
        <x:v>f21d12ba3d364b8dc2777f72594abffdabd4eab42a07df128e9da4179770c241</x:v>
      </x:c>
      <x:c r="E183" s="9" t="str">
        <x:v>SHA-256 des octets</x:v>
      </x:c>
      <x:c r="F183" s="24" t="str">
        <x:v>Paire B2 central/16203_10, variant</x:v>
      </x:c>
    </x:row>
    <x:row r="184" ht="43" customHeight="1">
      <x:c r="A184" s="5" t="str">
        <x:v>S179</x:v>
      </x:c>
      <x:c r="B184" s="23" t="str">
        <x:v>artifacts/optimizer_discovery/investigation16/benchmark/raw/central/seed/16204_10.json</x:v>
      </x:c>
      <x:c r="C184" s="23" t="str">
        <x:v>metrics.auc, metrics.final_regret</x:v>
      </x:c>
      <x:c r="D184" s="5" t="str">
        <x:v>0f432c6899d4bb40adbfbaa0b9cf92b63e899c8e05e7c49ba7144e016023dd52</x:v>
      </x:c>
      <x:c r="E184" s="5" t="str">
        <x:v>SHA-256 des octets</x:v>
      </x:c>
      <x:c r="F184" s="23" t="str">
        <x:v>Paire B2 central/16204_10, seed</x:v>
      </x:c>
    </x:row>
    <x:row r="185" ht="43" customHeight="1">
      <x:c r="A185" s="9" t="str">
        <x:v>S180</x:v>
      </x:c>
      <x:c r="B185" s="24" t="str">
        <x:v>artifacts/optimizer_discovery/investigation16/benchmark/b2/raw/central/16204_10.json</x:v>
      </x:c>
      <x:c r="C185" s="24" t="str">
        <x:v>metrics.auc, metrics.final_regret</x:v>
      </x:c>
      <x:c r="D185" s="9" t="str">
        <x:v>78f3a9ad850b2a3137671d8a97d0d0ee97a0c05dd2e8b5e9f46f382fe740d892</x:v>
      </x:c>
      <x:c r="E185" s="9" t="str">
        <x:v>SHA-256 des octets</x:v>
      </x:c>
      <x:c r="F185" s="24" t="str">
        <x:v>Paire B2 central/16204_10, variant</x:v>
      </x:c>
    </x:row>
    <x:row r="186" ht="43" customHeight="1">
      <x:c r="A186" s="5" t="str">
        <x:v>S181</x:v>
      </x:c>
      <x:c r="B186" s="23" t="str">
        <x:v>artifacts/optimizer_discovery/investigation16/benchmark/raw/broad/seed/16201_10.json</x:v>
      </x:c>
      <x:c r="C186" s="23" t="str">
        <x:v>metrics.auc, metrics.final_regret</x:v>
      </x:c>
      <x:c r="D186" s="5" t="str">
        <x:v>5dbc903e13c09d6cf256c570ef2531b7b9ee18602d82ecf437e779d87e3780e9</x:v>
      </x:c>
      <x:c r="E186" s="5" t="str">
        <x:v>SHA-256 des octets</x:v>
      </x:c>
      <x:c r="F186" s="23" t="str">
        <x:v>Paire B2 broad/16201_10, seed</x:v>
      </x:c>
    </x:row>
    <x:row r="187" ht="43" customHeight="1">
      <x:c r="A187" s="9" t="str">
        <x:v>S182</x:v>
      </x:c>
      <x:c r="B187" s="24" t="str">
        <x:v>artifacts/optimizer_discovery/investigation16/benchmark/b2/raw/broad/16201_10.json</x:v>
      </x:c>
      <x:c r="C187" s="24" t="str">
        <x:v>metrics.auc, metrics.final_regret</x:v>
      </x:c>
      <x:c r="D187" s="9" t="str">
        <x:v>b21ba962a905d8cb23f897f36818a07b4a3a5358cb0d1d82a1cbcaa2967263ed</x:v>
      </x:c>
      <x:c r="E187" s="9" t="str">
        <x:v>SHA-256 des octets</x:v>
      </x:c>
      <x:c r="F187" s="24" t="str">
        <x:v>Paire B2 broad/16201_10, variant</x:v>
      </x:c>
    </x:row>
    <x:row r="188" ht="43" customHeight="1">
      <x:c r="A188" s="5" t="str">
        <x:v>S183</x:v>
      </x:c>
      <x:c r="B188" s="23" t="str">
        <x:v>artifacts/optimizer_discovery/investigation16/benchmark/raw/broad/seed/16202_10.json</x:v>
      </x:c>
      <x:c r="C188" s="23" t="str">
        <x:v>metrics.auc, metrics.final_regret</x:v>
      </x:c>
      <x:c r="D188" s="5" t="str">
        <x:v>462f84e93a5e85164252b716c952c2c055bdab65e2135248ca79be062b8a428e</x:v>
      </x:c>
      <x:c r="E188" s="5" t="str">
        <x:v>SHA-256 des octets</x:v>
      </x:c>
      <x:c r="F188" s="23" t="str">
        <x:v>Paire B2 broad/16202_10, seed</x:v>
      </x:c>
    </x:row>
    <x:row r="189" ht="43" customHeight="1">
      <x:c r="A189" s="9" t="str">
        <x:v>S184</x:v>
      </x:c>
      <x:c r="B189" s="24" t="str">
        <x:v>artifacts/optimizer_discovery/investigation16/benchmark/b2/raw/broad/16202_10.json</x:v>
      </x:c>
      <x:c r="C189" s="24" t="str">
        <x:v>metrics.auc, metrics.final_regret</x:v>
      </x:c>
      <x:c r="D189" s="9" t="str">
        <x:v>a68d5496ca9b9cf20b3f30548c16abe2e757d6b8fba76a6812764f1a174991fe</x:v>
      </x:c>
      <x:c r="E189" s="9" t="str">
        <x:v>SHA-256 des octets</x:v>
      </x:c>
      <x:c r="F189" s="24" t="str">
        <x:v>Paire B2 broad/16202_10, variant</x:v>
      </x:c>
    </x:row>
    <x:row r="190" ht="43" customHeight="1">
      <x:c r="A190" s="5" t="str">
        <x:v>S185</x:v>
      </x:c>
      <x:c r="B190" s="23" t="str">
        <x:v>artifacts/optimizer_discovery/investigation16/benchmark/raw/broad/seed/16203_10.json</x:v>
      </x:c>
      <x:c r="C190" s="23" t="str">
        <x:v>metrics.auc, metrics.final_regret</x:v>
      </x:c>
      <x:c r="D190" s="5" t="str">
        <x:v>bc54afa85c4cc2659a9f1384252c4d7df468530f75c844ce3e9d514446bae8f7</x:v>
      </x:c>
      <x:c r="E190" s="5" t="str">
        <x:v>SHA-256 des octets</x:v>
      </x:c>
      <x:c r="F190" s="23" t="str">
        <x:v>Paire B2 broad/16203_10, seed</x:v>
      </x:c>
    </x:row>
    <x:row r="191" ht="43" customHeight="1">
      <x:c r="A191" s="9" t="str">
        <x:v>S186</x:v>
      </x:c>
      <x:c r="B191" s="24" t="str">
        <x:v>artifacts/optimizer_discovery/investigation16/benchmark/b2/raw/broad/16203_10.json</x:v>
      </x:c>
      <x:c r="C191" s="24" t="str">
        <x:v>metrics.auc, metrics.final_regret</x:v>
      </x:c>
      <x:c r="D191" s="9" t="str">
        <x:v>7abc0e2b490118834a6ac68579daf2af91243c37fa569403c9240ac0494cf467</x:v>
      </x:c>
      <x:c r="E191" s="9" t="str">
        <x:v>SHA-256 des octets</x:v>
      </x:c>
      <x:c r="F191" s="24" t="str">
        <x:v>Paire B2 broad/16203_10, variant</x:v>
      </x:c>
    </x:row>
    <x:row r="192" ht="43" customHeight="1">
      <x:c r="A192" s="5" t="str">
        <x:v>S187</x:v>
      </x:c>
      <x:c r="B192" s="23" t="str">
        <x:v>artifacts/optimizer_discovery/investigation16/benchmark/raw/broad/seed/16204_10.json</x:v>
      </x:c>
      <x:c r="C192" s="23" t="str">
        <x:v>metrics.auc, metrics.final_regret</x:v>
      </x:c>
      <x:c r="D192" s="5" t="str">
        <x:v>bdacd5449b7bf4aceeb70113889090f8dd8bac6ddfc13063ff441023bfb35b86</x:v>
      </x:c>
      <x:c r="E192" s="5" t="str">
        <x:v>SHA-256 des octets</x:v>
      </x:c>
      <x:c r="F192" s="23" t="str">
        <x:v>Paire B2 broad/16204_10, seed</x:v>
      </x:c>
    </x:row>
    <x:row r="193" ht="43" customHeight="1">
      <x:c r="A193" s="9" t="str">
        <x:v>S188</x:v>
      </x:c>
      <x:c r="B193" s="24" t="str">
        <x:v>artifacts/optimizer_discovery/investigation16/benchmark/b2/raw/broad/16204_10.json</x:v>
      </x:c>
      <x:c r="C193" s="24" t="str">
        <x:v>metrics.auc, metrics.final_regret</x:v>
      </x:c>
      <x:c r="D193" s="9" t="str">
        <x:v>bedb85e9c950abe97fd346b4ff84e2f533e7665d8fcbfc0c0ebf38aee0b629be</x:v>
      </x:c>
      <x:c r="E193" s="9" t="str">
        <x:v>SHA-256 des octets</x:v>
      </x:c>
      <x:c r="F193" s="24" t="str">
        <x:v>Paire B2 broad/16204_10, variant</x:v>
      </x:c>
    </x:row>
    <x:row r="194" ht="43" customHeight="1">
      <x:c r="A194" s="5" t="str">
        <x:v>S189</x:v>
      </x:c>
      <x:c r="B194" s="23" t="str">
        <x:v>artifacts/optimizer_discovery/investigation16/benchmark/raw/central/seed/16201_11.json</x:v>
      </x:c>
      <x:c r="C194" s="23" t="str">
        <x:v>metrics.auc, metrics.final_regret</x:v>
      </x:c>
      <x:c r="D194" s="5" t="str">
        <x:v>da905a012ee607b197123c163d331bc035e153f2d7f0656ed1ad2814dfcfe8c0</x:v>
      </x:c>
      <x:c r="E194" s="5" t="str">
        <x:v>SHA-256 des octets</x:v>
      </x:c>
      <x:c r="F194" s="23" t="str">
        <x:v>Paire B2 central/16201_11, seed</x:v>
      </x:c>
    </x:row>
    <x:row r="195" ht="43" customHeight="1">
      <x:c r="A195" s="9" t="str">
        <x:v>S190</x:v>
      </x:c>
      <x:c r="B195" s="24" t="str">
        <x:v>artifacts/optimizer_discovery/investigation16/benchmark/b2/raw/central/16201_11.json</x:v>
      </x:c>
      <x:c r="C195" s="24" t="str">
        <x:v>metrics.auc, metrics.final_regret</x:v>
      </x:c>
      <x:c r="D195" s="9" t="str">
        <x:v>89534fa91a15824636c80e735200b8c5ff5f85e30593580409f659faa443758f</x:v>
      </x:c>
      <x:c r="E195" s="9" t="str">
        <x:v>SHA-256 des octets</x:v>
      </x:c>
      <x:c r="F195" s="24" t="str">
        <x:v>Paire B2 central/16201_11, variant</x:v>
      </x:c>
    </x:row>
    <x:row r="196" ht="43" customHeight="1">
      <x:c r="A196" s="5" t="str">
        <x:v>S191</x:v>
      </x:c>
      <x:c r="B196" s="23" t="str">
        <x:v>artifacts/optimizer_discovery/investigation16/benchmark/raw/central/seed/16202_11.json</x:v>
      </x:c>
      <x:c r="C196" s="23" t="str">
        <x:v>metrics.auc, metrics.final_regret</x:v>
      </x:c>
      <x:c r="D196" s="5" t="str">
        <x:v>1307084fa2a1dd3ae97a036d161496aaa453a91c185b97387baa3fa122386f3f</x:v>
      </x:c>
      <x:c r="E196" s="5" t="str">
        <x:v>SHA-256 des octets</x:v>
      </x:c>
      <x:c r="F196" s="23" t="str">
        <x:v>Paire B2 central/16202_11, seed</x:v>
      </x:c>
    </x:row>
    <x:row r="197" ht="43" customHeight="1">
      <x:c r="A197" s="9" t="str">
        <x:v>S192</x:v>
      </x:c>
      <x:c r="B197" s="24" t="str">
        <x:v>artifacts/optimizer_discovery/investigation16/benchmark/b2/raw/central/16202_11.json</x:v>
      </x:c>
      <x:c r="C197" s="24" t="str">
        <x:v>metrics.auc, metrics.final_regret</x:v>
      </x:c>
      <x:c r="D197" s="9" t="str">
        <x:v>ff91e32551acc0bfcabd36f10cc09c8e4646338b41777a52f05140860e39c650</x:v>
      </x:c>
      <x:c r="E197" s="9" t="str">
        <x:v>SHA-256 des octets</x:v>
      </x:c>
      <x:c r="F197" s="24" t="str">
        <x:v>Paire B2 central/16202_11, variant</x:v>
      </x:c>
    </x:row>
    <x:row r="198" ht="43" customHeight="1">
      <x:c r="A198" s="5" t="str">
        <x:v>S193</x:v>
      </x:c>
      <x:c r="B198" s="23" t="str">
        <x:v>artifacts/optimizer_discovery/investigation16/benchmark/raw/central/seed/16203_11.json</x:v>
      </x:c>
      <x:c r="C198" s="23" t="str">
        <x:v>metrics.auc, metrics.final_regret</x:v>
      </x:c>
      <x:c r="D198" s="5" t="str">
        <x:v>41b4eef5ecb661b9b677b069a61ed9f8c0ce59f479c11260c4f11f7abb7b0787</x:v>
      </x:c>
      <x:c r="E198" s="5" t="str">
        <x:v>SHA-256 des octets</x:v>
      </x:c>
      <x:c r="F198" s="23" t="str">
        <x:v>Paire B2 central/16203_11, seed</x:v>
      </x:c>
    </x:row>
    <x:row r="199" ht="43" customHeight="1">
      <x:c r="A199" s="9" t="str">
        <x:v>S194</x:v>
      </x:c>
      <x:c r="B199" s="24" t="str">
        <x:v>artifacts/optimizer_discovery/investigation16/benchmark/b2/raw/central/16203_11.json</x:v>
      </x:c>
      <x:c r="C199" s="24" t="str">
        <x:v>metrics.auc, metrics.final_regret</x:v>
      </x:c>
      <x:c r="D199" s="9" t="str">
        <x:v>5294d8ec878289dd4725200b46ee78554f89076d258aa46767226c81eaf3eb22</x:v>
      </x:c>
      <x:c r="E199" s="9" t="str">
        <x:v>SHA-256 des octets</x:v>
      </x:c>
      <x:c r="F199" s="24" t="str">
        <x:v>Paire B2 central/16203_11, variant</x:v>
      </x:c>
    </x:row>
    <x:row r="200" ht="43" customHeight="1">
      <x:c r="A200" s="5" t="str">
        <x:v>S195</x:v>
      </x:c>
      <x:c r="B200" s="23" t="str">
        <x:v>artifacts/optimizer_discovery/investigation16/benchmark/raw/central/seed/16204_11.json</x:v>
      </x:c>
      <x:c r="C200" s="23" t="str">
        <x:v>metrics.auc, metrics.final_regret</x:v>
      </x:c>
      <x:c r="D200" s="5" t="str">
        <x:v>b9eadd11106abf6a5047b0b6e659131e52342af2950dfc8913775e5b33637d89</x:v>
      </x:c>
      <x:c r="E200" s="5" t="str">
        <x:v>SHA-256 des octets</x:v>
      </x:c>
      <x:c r="F200" s="23" t="str">
        <x:v>Paire B2 central/16204_11, seed</x:v>
      </x:c>
    </x:row>
    <x:row r="201" ht="43" customHeight="1">
      <x:c r="A201" s="9" t="str">
        <x:v>S196</x:v>
      </x:c>
      <x:c r="B201" s="24" t="str">
        <x:v>artifacts/optimizer_discovery/investigation16/benchmark/b2/raw/central/16204_11.json</x:v>
      </x:c>
      <x:c r="C201" s="24" t="str">
        <x:v>metrics.auc, metrics.final_regret</x:v>
      </x:c>
      <x:c r="D201" s="9" t="str">
        <x:v>a7f81ce5bd0c46489899efe6e4a89e36ac80025ab75b1edc95a22b5b235b909b</x:v>
      </x:c>
      <x:c r="E201" s="9" t="str">
        <x:v>SHA-256 des octets</x:v>
      </x:c>
      <x:c r="F201" s="24" t="str">
        <x:v>Paire B2 central/16204_11, variant</x:v>
      </x:c>
    </x:row>
    <x:row r="202" ht="43" customHeight="1">
      <x:c r="A202" s="5" t="str">
        <x:v>S197</x:v>
      </x:c>
      <x:c r="B202" s="23" t="str">
        <x:v>artifacts/optimizer_discovery/investigation16/benchmark/raw/broad/seed/16201_11.json</x:v>
      </x:c>
      <x:c r="C202" s="23" t="str">
        <x:v>metrics.auc, metrics.final_regret</x:v>
      </x:c>
      <x:c r="D202" s="5" t="str">
        <x:v>d4c8a751fcfe4c83bd8b732a35fcddc90d48c39a368b9ad4885666194bcb6217</x:v>
      </x:c>
      <x:c r="E202" s="5" t="str">
        <x:v>SHA-256 des octets</x:v>
      </x:c>
      <x:c r="F202" s="23" t="str">
        <x:v>Paire B2 broad/16201_11, seed</x:v>
      </x:c>
    </x:row>
    <x:row r="203" ht="43" customHeight="1">
      <x:c r="A203" s="9" t="str">
        <x:v>S198</x:v>
      </x:c>
      <x:c r="B203" s="24" t="str">
        <x:v>artifacts/optimizer_discovery/investigation16/benchmark/b2/raw/broad/16201_11.json</x:v>
      </x:c>
      <x:c r="C203" s="24" t="str">
        <x:v>metrics.auc, metrics.final_regret</x:v>
      </x:c>
      <x:c r="D203" s="9" t="str">
        <x:v>0d927b3b7f4bd86c3046b134aa365f29e7367176bc56ec70ce3ab764c3e6c94c</x:v>
      </x:c>
      <x:c r="E203" s="9" t="str">
        <x:v>SHA-256 des octets</x:v>
      </x:c>
      <x:c r="F203" s="24" t="str">
        <x:v>Paire B2 broad/16201_11, variant</x:v>
      </x:c>
    </x:row>
    <x:row r="204" ht="43" customHeight="1">
      <x:c r="A204" s="5" t="str">
        <x:v>S199</x:v>
      </x:c>
      <x:c r="B204" s="23" t="str">
        <x:v>artifacts/optimizer_discovery/investigation16/benchmark/raw/broad/seed/16202_11.json</x:v>
      </x:c>
      <x:c r="C204" s="23" t="str">
        <x:v>metrics.auc, metrics.final_regret</x:v>
      </x:c>
      <x:c r="D204" s="5" t="str">
        <x:v>e72f75d79bbbe5bdb482aba5ac768c4ec70498d6bfdb616b3e695a1f2b634899</x:v>
      </x:c>
      <x:c r="E204" s="5" t="str">
        <x:v>SHA-256 des octets</x:v>
      </x:c>
      <x:c r="F204" s="23" t="str">
        <x:v>Paire B2 broad/16202_11, seed</x:v>
      </x:c>
    </x:row>
    <x:row r="205" ht="43" customHeight="1">
      <x:c r="A205" s="9" t="str">
        <x:v>S200</x:v>
      </x:c>
      <x:c r="B205" s="24" t="str">
        <x:v>artifacts/optimizer_discovery/investigation16/benchmark/b2/raw/broad/16202_11.json</x:v>
      </x:c>
      <x:c r="C205" s="24" t="str">
        <x:v>metrics.auc, metrics.final_regret</x:v>
      </x:c>
      <x:c r="D205" s="9" t="str">
        <x:v>568089d4767cbcdedc363c7c3e3d200586e5bafb4b83bcb303ba1002a0f26531</x:v>
      </x:c>
      <x:c r="E205" s="9" t="str">
        <x:v>SHA-256 des octets</x:v>
      </x:c>
      <x:c r="F205" s="24" t="str">
        <x:v>Paire B2 broad/16202_11, variant</x:v>
      </x:c>
    </x:row>
    <x:row r="206" ht="43" customHeight="1">
      <x:c r="A206" s="5" t="str">
        <x:v>S201</x:v>
      </x:c>
      <x:c r="B206" s="23" t="str">
        <x:v>artifacts/optimizer_discovery/investigation16/benchmark/raw/broad/seed/16203_11.json</x:v>
      </x:c>
      <x:c r="C206" s="23" t="str">
        <x:v>metrics.auc, metrics.final_regret</x:v>
      </x:c>
      <x:c r="D206" s="5" t="str">
        <x:v>e171ad66f981335db582437e5192f437a31b96b1b53015bf7afcaae3a8826f25</x:v>
      </x:c>
      <x:c r="E206" s="5" t="str">
        <x:v>SHA-256 des octets</x:v>
      </x:c>
      <x:c r="F206" s="23" t="str">
        <x:v>Paire B2 broad/16203_11, seed</x:v>
      </x:c>
    </x:row>
    <x:row r="207" ht="43" customHeight="1">
      <x:c r="A207" s="9" t="str">
        <x:v>S202</x:v>
      </x:c>
      <x:c r="B207" s="24" t="str">
        <x:v>artifacts/optimizer_discovery/investigation16/benchmark/b2/raw/broad/16203_11.json</x:v>
      </x:c>
      <x:c r="C207" s="24" t="str">
        <x:v>metrics.auc, metrics.final_regret</x:v>
      </x:c>
      <x:c r="D207" s="9" t="str">
        <x:v>ea233c7580dba90981fba37c93fef757cc609bc9c2b7966083e6bd12b9b98fcf</x:v>
      </x:c>
      <x:c r="E207" s="9" t="str">
        <x:v>SHA-256 des octets</x:v>
      </x:c>
      <x:c r="F207" s="24" t="str">
        <x:v>Paire B2 broad/16203_11, variant</x:v>
      </x:c>
    </x:row>
    <x:row r="208" ht="43" customHeight="1">
      <x:c r="A208" s="5" t="str">
        <x:v>S203</x:v>
      </x:c>
      <x:c r="B208" s="23" t="str">
        <x:v>artifacts/optimizer_discovery/investigation16/benchmark/raw/broad/seed/16204_11.json</x:v>
      </x:c>
      <x:c r="C208" s="23" t="str">
        <x:v>metrics.auc, metrics.final_regret</x:v>
      </x:c>
      <x:c r="D208" s="5" t="str">
        <x:v>ef62eb9e368d48520c039ddcbcf93ca631b2aa3a9eeaee999bad0dff44872e5a</x:v>
      </x:c>
      <x:c r="E208" s="5" t="str">
        <x:v>SHA-256 des octets</x:v>
      </x:c>
      <x:c r="F208" s="23" t="str">
        <x:v>Paire B2 broad/16204_11, seed</x:v>
      </x:c>
    </x:row>
    <x:row r="209" ht="43" customHeight="1">
      <x:c r="A209" s="9" t="str">
        <x:v>S204</x:v>
      </x:c>
      <x:c r="B209" s="24" t="str">
        <x:v>artifacts/optimizer_discovery/investigation16/benchmark/b2/raw/broad/16204_11.json</x:v>
      </x:c>
      <x:c r="C209" s="24" t="str">
        <x:v>metrics.auc, metrics.final_regret</x:v>
      </x:c>
      <x:c r="D209" s="9" t="str">
        <x:v>34156d8c1ec0a0a1971d0c21f867a110cb0a30da12c3c90a869784fbcd9a77cf</x:v>
      </x:c>
      <x:c r="E209" s="9" t="str">
        <x:v>SHA-256 des octets</x:v>
      </x:c>
      <x:c r="F209" s="24" t="str">
        <x:v>Paire B2 broad/16204_11, variant</x:v>
      </x:c>
    </x:row>
  </x:sheetData>
  <x:pageMargins left="0.7" right="0.7" top="0.75" bottom="0.75" header="0.3" footer="0.3"/>
  <x:tableParts count="1">
    <x:tablePart xmlns:r="http://schemas.openxmlformats.org/officeDocument/2006/relationships" r:id="R79a2c8a676ba494d"/>
  </x:tableParts>
</x:worksheet>
</file>